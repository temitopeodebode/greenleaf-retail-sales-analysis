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96c62ecbdadd6959/Documents/Data Analysis/"/>
    </mc:Choice>
  </mc:AlternateContent>
  <xr:revisionPtr revIDLastSave="730" documentId="11_26DA5636635506BEF4BEC345B3BE50BB5978B1CE" xr6:coauthVersionLast="47" xr6:coauthVersionMax="47" xr10:uidLastSave="{A25BAE1A-C1A7-40E7-9366-8B1A33FBA573}"/>
  <bookViews>
    <workbookView xWindow="-110" yWindow="-110" windowWidth="19420" windowHeight="10300" tabRatio="500" activeTab="3" xr2:uid="{00000000-000D-0000-FFFF-FFFF00000000}"/>
  </bookViews>
  <sheets>
    <sheet name="Raw Data" sheetId="1" r:id="rId1"/>
    <sheet name="Cleaned Data" sheetId="4" r:id="rId2"/>
    <sheet name="Pivot Summary" sheetId="11" r:id="rId3"/>
    <sheet name="Dashboard" sheetId="10" r:id="rId4"/>
  </sheets>
  <definedNames>
    <definedName name="_xlnm._FilterDatabase" localSheetId="1" hidden="1">'Cleaned Data'!$A$1:$I$106</definedName>
    <definedName name="_xlnm._FilterDatabase" localSheetId="0" hidden="1">'Raw Data'!$A$1:$I$114</definedName>
    <definedName name="Slicer_Location">#N/A</definedName>
    <definedName name="Slicer_Location1">#N/A</definedName>
  </definedNames>
  <calcPr calcId="191029" iterateDelta="1E-4"/>
  <pivotCaches>
    <pivotCache cacheId="39" r:id="rId5"/>
    <pivotCache cacheId="5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6" i="10" l="1"/>
  <c r="I6" i="10"/>
  <c r="E6" i="10"/>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2" i="4"/>
  <c r="F5" i="4"/>
  <c r="F6" i="4"/>
  <c r="I6" i="4"/>
  <c r="I3" i="4"/>
  <c r="I4" i="4"/>
  <c r="I5"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2" i="4"/>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3" i="1"/>
  <c r="I2" i="1"/>
  <c r="F3" i="4"/>
  <c r="F4"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2"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3" i="4"/>
  <c r="C4" i="4"/>
  <c r="C2"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3" i="4"/>
  <c r="B4" i="4"/>
  <c r="B5" i="4"/>
  <c r="B6" i="4"/>
  <c r="B7" i="4"/>
  <c r="B8" i="4"/>
  <c r="B9" i="4"/>
  <c r="B10" i="4"/>
  <c r="B11" i="4"/>
  <c r="B12" i="4"/>
  <c r="B13" i="4"/>
  <c r="B14" i="4"/>
  <c r="B15" i="4"/>
  <c r="B16" i="4"/>
  <c r="B17" i="4"/>
  <c r="B18" i="4"/>
  <c r="B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2" i="4"/>
  <c r="A6" i="10" l="1"/>
</calcChain>
</file>

<file path=xl/sharedStrings.xml><?xml version="1.0" encoding="utf-8"?>
<sst xmlns="http://schemas.openxmlformats.org/spreadsheetml/2006/main" count="731" uniqueCount="483">
  <si>
    <t>Name</t>
  </si>
  <si>
    <t>Email</t>
  </si>
  <si>
    <t>Phone</t>
  </si>
  <si>
    <t>Location</t>
  </si>
  <si>
    <t>Date of Purchase</t>
  </si>
  <si>
    <t>Product</t>
  </si>
  <si>
    <t>Quantity</t>
  </si>
  <si>
    <t>Amount</t>
  </si>
  <si>
    <t>EMEKA SANNI</t>
  </si>
  <si>
    <t>emeka.sanni41@outlook.com</t>
  </si>
  <si>
    <t>08452984153</t>
  </si>
  <si>
    <t xml:space="preserve">  IBADAN</t>
  </si>
  <si>
    <t>2024-01-19</t>
  </si>
  <si>
    <t>WRIST WATCH</t>
  </si>
  <si>
    <t>blessing adekunle</t>
  </si>
  <si>
    <t>blessing.adekunle@yahoo.com</t>
  </si>
  <si>
    <t>0446-049-5660</t>
  </si>
  <si>
    <t>port harcourt</t>
  </si>
  <si>
    <t>10/05/2024</t>
  </si>
  <si>
    <t>SMARTPHONE</t>
  </si>
  <si>
    <t xml:space="preserve">  musa chukwu</t>
  </si>
  <si>
    <t>musa.chukwu@yahoo.com</t>
  </si>
  <si>
    <t>04634786122</t>
  </si>
  <si>
    <t xml:space="preserve">KANO </t>
  </si>
  <si>
    <t>17/02/2024</t>
  </si>
  <si>
    <t>HANDBAG</t>
  </si>
  <si>
    <t>CHUKWUDI OKORO</t>
  </si>
  <si>
    <t>chukwudi.okoro@gmail.com</t>
  </si>
  <si>
    <t xml:space="preserve">Kano </t>
  </si>
  <si>
    <t>27/03/2024</t>
  </si>
  <si>
    <t xml:space="preserve">  NGOZI IBRAHIM</t>
  </si>
  <si>
    <t>NGOZI.IBRAHIM@YAHOO.COM</t>
  </si>
  <si>
    <t>0889-148-6546</t>
  </si>
  <si>
    <t>KANO</t>
  </si>
  <si>
    <t>2024-02-28</t>
  </si>
  <si>
    <t>Smartphone</t>
  </si>
  <si>
    <t xml:space="preserve">wale okoro </t>
  </si>
  <si>
    <t>wale.okoro@yahoo.com</t>
  </si>
  <si>
    <t>ENUGU</t>
  </si>
  <si>
    <t>02/06/2024</t>
  </si>
  <si>
    <t>Blender</t>
  </si>
  <si>
    <t xml:space="preserve">  ADAEZE ABUBAKAR</t>
  </si>
  <si>
    <t xml:space="preserve">  adaeze.abubakar@outlook.com</t>
  </si>
  <si>
    <t>0053-446-8826</t>
  </si>
  <si>
    <t xml:space="preserve">  Enugu</t>
  </si>
  <si>
    <t>2024-02-07</t>
  </si>
  <si>
    <t>smartphone</t>
  </si>
  <si>
    <t xml:space="preserve">  chinedu balogun</t>
  </si>
  <si>
    <t>06199582254</t>
  </si>
  <si>
    <t>abuja</t>
  </si>
  <si>
    <t>2024-05-13</t>
  </si>
  <si>
    <t>AISHA BALOGUN</t>
  </si>
  <si>
    <t>aisha.balogun@outlook.com</t>
  </si>
  <si>
    <t>0051-697-8464</t>
  </si>
  <si>
    <t>ibadan</t>
  </si>
  <si>
    <t>2024-01-04</t>
  </si>
  <si>
    <t>IBRAHIM ABUBAKAR</t>
  </si>
  <si>
    <t xml:space="preserve">IBRAHIM.ABUBAKAR@GMAIL.COM </t>
  </si>
  <si>
    <t>09139099603</t>
  </si>
  <si>
    <t>Abuja</t>
  </si>
  <si>
    <t>Headphones</t>
  </si>
  <si>
    <t>KUNLE OBI</t>
  </si>
  <si>
    <t xml:space="preserve">  kunle.obi@gmail.com </t>
  </si>
  <si>
    <t>lagos</t>
  </si>
  <si>
    <t>12/02/2024</t>
  </si>
  <si>
    <t>Bisi Sanni</t>
  </si>
  <si>
    <t xml:space="preserve">bisi.sanni@yahoo.com </t>
  </si>
  <si>
    <t xml:space="preserve">  Ibadan </t>
  </si>
  <si>
    <t>28/04/2024</t>
  </si>
  <si>
    <t xml:space="preserve">emeka okafor </t>
  </si>
  <si>
    <t>EMEKA.OKAFOR@GMAIL.COM</t>
  </si>
  <si>
    <t>0776-467-2720</t>
  </si>
  <si>
    <t>17/06/2024</t>
  </si>
  <si>
    <t>Wrist Watch</t>
  </si>
  <si>
    <t>abdullahi chukwu</t>
  </si>
  <si>
    <t xml:space="preserve">  abdullahi.chukwu@yahoo.com</t>
  </si>
  <si>
    <t>0352-056-1748</t>
  </si>
  <si>
    <t xml:space="preserve">abuja </t>
  </si>
  <si>
    <t>2024-05-19</t>
  </si>
  <si>
    <t>wrist watch</t>
  </si>
  <si>
    <t xml:space="preserve">toyin nwosu </t>
  </si>
  <si>
    <t>TOYIN.NWOSU@GMAIL.COM</t>
  </si>
  <si>
    <t>0718-818-1741</t>
  </si>
  <si>
    <t>2024-06-26</t>
  </si>
  <si>
    <t>television</t>
  </si>
  <si>
    <t xml:space="preserve">  Halima Adeyemi </t>
  </si>
  <si>
    <t xml:space="preserve">  HALIMA.ADEYEMI@OUTLOOK.COM</t>
  </si>
  <si>
    <t xml:space="preserve">  Ibadan</t>
  </si>
  <si>
    <t>2024-05-09</t>
  </si>
  <si>
    <t>SNEAKERS</t>
  </si>
  <si>
    <t xml:space="preserve">  BUKOLA UMEH</t>
  </si>
  <si>
    <t xml:space="preserve">  bukola.umeh@yahoo.com</t>
  </si>
  <si>
    <t>07628331258</t>
  </si>
  <si>
    <t xml:space="preserve">  ABUJA</t>
  </si>
  <si>
    <t>10/01/2024</t>
  </si>
  <si>
    <t>Television</t>
  </si>
  <si>
    <t xml:space="preserve">CHIDINMA BALOGUN </t>
  </si>
  <si>
    <t>0865-797-5432</t>
  </si>
  <si>
    <t>09/06/2024</t>
  </si>
  <si>
    <t>Chidinma Okafor</t>
  </si>
  <si>
    <t>chidinma.okafor@outlook.com</t>
  </si>
  <si>
    <t>03100251678</t>
  </si>
  <si>
    <t>14/01/2024</t>
  </si>
  <si>
    <t>headphones</t>
  </si>
  <si>
    <t>SANI OKAFOR</t>
  </si>
  <si>
    <t xml:space="preserve">sani.okafor@gmail.com </t>
  </si>
  <si>
    <t>09022279180</t>
  </si>
  <si>
    <t>11/05/2024</t>
  </si>
  <si>
    <t>sani abubakar</t>
  </si>
  <si>
    <t>sani.abubakar78@outlook.com</t>
  </si>
  <si>
    <t>0620-191-3274</t>
  </si>
  <si>
    <t>2024-05-22</t>
  </si>
  <si>
    <t>Handbag</t>
  </si>
  <si>
    <t>precious nwosu</t>
  </si>
  <si>
    <t xml:space="preserve">  precious.nwosu@gmail.com</t>
  </si>
  <si>
    <t>07010737504</t>
  </si>
  <si>
    <t>2024-05-28</t>
  </si>
  <si>
    <t>HEADPHONES</t>
  </si>
  <si>
    <t>halima nwachukwu</t>
  </si>
  <si>
    <t>HALIMA.NWACHUKWU@YAHOO.COM</t>
  </si>
  <si>
    <t>0777-412-1547</t>
  </si>
  <si>
    <t>ABUJA</t>
  </si>
  <si>
    <t>18/01/2024</t>
  </si>
  <si>
    <t>Sneakers</t>
  </si>
  <si>
    <t>RUKAYAT ADEYEMI</t>
  </si>
  <si>
    <t>rukayat.adeyemi@gmail.com</t>
  </si>
  <si>
    <t>0309-260-0267</t>
  </si>
  <si>
    <t>24/05/2024</t>
  </si>
  <si>
    <t xml:space="preserve">  Aisha Umeh</t>
  </si>
  <si>
    <t>AISHA.UMEH@GMAIL.COM</t>
  </si>
  <si>
    <t>06133310014</t>
  </si>
  <si>
    <t>Laptop</t>
  </si>
  <si>
    <t>Obinna Nwosu</t>
  </si>
  <si>
    <t xml:space="preserve">  OBINNA.NWOSU@OUTLOOK.COM </t>
  </si>
  <si>
    <t>02650201462</t>
  </si>
  <si>
    <t>blender</t>
  </si>
  <si>
    <t>CHIAMAKA SANNI</t>
  </si>
  <si>
    <t xml:space="preserve">  chiamaka.sanni@yahoo.com</t>
  </si>
  <si>
    <t>0738-344-9223</t>
  </si>
  <si>
    <t>Kano</t>
  </si>
  <si>
    <t>08/01/2024</t>
  </si>
  <si>
    <t>Chukwudi Obi</t>
  </si>
  <si>
    <t>chukwudi.obi@outlook.com</t>
  </si>
  <si>
    <t>0075-116-3726</t>
  </si>
  <si>
    <t>Port Harcourt</t>
  </si>
  <si>
    <t>26/05/2024</t>
  </si>
  <si>
    <t>laptop</t>
  </si>
  <si>
    <t xml:space="preserve">funke suleiman </t>
  </si>
  <si>
    <t>funke.suleiman@outlook.com</t>
  </si>
  <si>
    <t>09059582785</t>
  </si>
  <si>
    <t>2024-06-14</t>
  </si>
  <si>
    <t>segun obi</t>
  </si>
  <si>
    <t>SEGUN.OBI@YAHOO.COM</t>
  </si>
  <si>
    <t>0724-920-8682</t>
  </si>
  <si>
    <t>kano</t>
  </si>
  <si>
    <t>15/06/2024</t>
  </si>
  <si>
    <t>kelechi obi</t>
  </si>
  <si>
    <t>kelechi.obi@yahoo.com</t>
  </si>
  <si>
    <t>09873200080</t>
  </si>
  <si>
    <t xml:space="preserve">  Ibrahim Sanni </t>
  </si>
  <si>
    <t xml:space="preserve">  IBRAHIM.SANNI@OUTLOOK.COM </t>
  </si>
  <si>
    <t>0620-579-8682</t>
  </si>
  <si>
    <t>2024-05-15</t>
  </si>
  <si>
    <t>Chiamaka Yusuf</t>
  </si>
  <si>
    <t>0332-493-5164</t>
  </si>
  <si>
    <t>15/01/2024</t>
  </si>
  <si>
    <t xml:space="preserve">  Wale Chukwu</t>
  </si>
  <si>
    <t>wale.chukwu@outlook.com</t>
  </si>
  <si>
    <t>0983-478-8783</t>
  </si>
  <si>
    <t xml:space="preserve">  PORT HARCOURT</t>
  </si>
  <si>
    <t>26/01/2024</t>
  </si>
  <si>
    <t>LAPTOP</t>
  </si>
  <si>
    <t>Funke Obi</t>
  </si>
  <si>
    <t xml:space="preserve">funke.obi@gmail.com </t>
  </si>
  <si>
    <t>25/06/2024</t>
  </si>
  <si>
    <t xml:space="preserve">Abdullahi Yusuf </t>
  </si>
  <si>
    <t xml:space="preserve">ABDULLAHI.YUSUF@GMAIL.COM </t>
  </si>
  <si>
    <t>0616-751-3613</t>
  </si>
  <si>
    <t xml:space="preserve">  lagos</t>
  </si>
  <si>
    <t>08/06/2024</t>
  </si>
  <si>
    <t>BLENDER</t>
  </si>
  <si>
    <t>CHIAMAKA AFOLABI</t>
  </si>
  <si>
    <t>chiamaka.afolabi9@yahoo.com</t>
  </si>
  <si>
    <t>0859-952-8907</t>
  </si>
  <si>
    <t>2024-05-05</t>
  </si>
  <si>
    <t xml:space="preserve">  FATIMA ABUBAKAR</t>
  </si>
  <si>
    <t xml:space="preserve">  fatima.abubakar@yahoo.com</t>
  </si>
  <si>
    <t>03287046557</t>
  </si>
  <si>
    <t xml:space="preserve">LAGOS </t>
  </si>
  <si>
    <t>16/04/2024</t>
  </si>
  <si>
    <t xml:space="preserve">  zainab yusuf</t>
  </si>
  <si>
    <t>zainab.yusuf@gmail.com</t>
  </si>
  <si>
    <t xml:space="preserve">chiamaka sanni </t>
  </si>
  <si>
    <t>chiamaka.sanni@yahoo.com</t>
  </si>
  <si>
    <t>03372117815</t>
  </si>
  <si>
    <t>IBADAN</t>
  </si>
  <si>
    <t>2024-01-12</t>
  </si>
  <si>
    <t>Segun Ibrahim</t>
  </si>
  <si>
    <t xml:space="preserve">  SEGUN.IBRAHIM@GMAIL.COM</t>
  </si>
  <si>
    <t>07316723268</t>
  </si>
  <si>
    <t xml:space="preserve">Ibadan </t>
  </si>
  <si>
    <t xml:space="preserve">wale yusuf </t>
  </si>
  <si>
    <t xml:space="preserve">  wale.yusuf@outlook.com</t>
  </si>
  <si>
    <t>0706-360-6071</t>
  </si>
  <si>
    <t>Lagos</t>
  </si>
  <si>
    <t>17/04/2024</t>
  </si>
  <si>
    <t xml:space="preserve">  Fatima Umeh</t>
  </si>
  <si>
    <t xml:space="preserve">FATIMA.UMEH@GMAIL.COM </t>
  </si>
  <si>
    <t>0704-718-7463</t>
  </si>
  <si>
    <t xml:space="preserve">Abuja </t>
  </si>
  <si>
    <t>2024-02-21</t>
  </si>
  <si>
    <t xml:space="preserve">SEGUN.IBRAHIM@GMAIL.COM </t>
  </si>
  <si>
    <t>0732-904-8449</t>
  </si>
  <si>
    <t>PORT HARCOURT</t>
  </si>
  <si>
    <t>Precious Okafor</t>
  </si>
  <si>
    <t xml:space="preserve">  precious.okafor@outlook.com </t>
  </si>
  <si>
    <t>24/01/2024</t>
  </si>
  <si>
    <t>Ngozi Yusuf</t>
  </si>
  <si>
    <t>ngozi.yusuf@gmail.com</t>
  </si>
  <si>
    <t>0366-712-7684</t>
  </si>
  <si>
    <t>21/06/2024</t>
  </si>
  <si>
    <t>amaka bello</t>
  </si>
  <si>
    <t>amaka.bello@gmail.com</t>
  </si>
  <si>
    <t>09575513137</t>
  </si>
  <si>
    <t>2024-02-27</t>
  </si>
  <si>
    <t xml:space="preserve">  sani okafor</t>
  </si>
  <si>
    <t xml:space="preserve">sani.okafor34@gmail.com </t>
  </si>
  <si>
    <t>0269-060-4431</t>
  </si>
  <si>
    <t xml:space="preserve">  kano</t>
  </si>
  <si>
    <t>16/03/2024</t>
  </si>
  <si>
    <t xml:space="preserve">AISHA OBI </t>
  </si>
  <si>
    <t>aisha.obi@outlook.com</t>
  </si>
  <si>
    <t>0315-827-9401</t>
  </si>
  <si>
    <t xml:space="preserve">Enugu </t>
  </si>
  <si>
    <t>EMEKA EZE</t>
  </si>
  <si>
    <t>EMEKA.EZE@GMAIL.COM</t>
  </si>
  <si>
    <t>01144024264</t>
  </si>
  <si>
    <t>19/03/2024</t>
  </si>
  <si>
    <t xml:space="preserve">  emeka bello</t>
  </si>
  <si>
    <t xml:space="preserve">  EMEKA.BELLO@YAHOO.COM</t>
  </si>
  <si>
    <t>0058-649-2083</t>
  </si>
  <si>
    <t>2024-01-17</t>
  </si>
  <si>
    <t xml:space="preserve">NGOZI BELLO </t>
  </si>
  <si>
    <t>ngozi.bello@outlook.com</t>
  </si>
  <si>
    <t>0423-468-5356</t>
  </si>
  <si>
    <t>Enugu</t>
  </si>
  <si>
    <t>01/02/2024</t>
  </si>
  <si>
    <t xml:space="preserve">  CHINEDU OKAFOR</t>
  </si>
  <si>
    <t>03943699192</t>
  </si>
  <si>
    <t xml:space="preserve">  LAGOS</t>
  </si>
  <si>
    <t>2024-01-14</t>
  </si>
  <si>
    <t>BISI ADEKUNLE</t>
  </si>
  <si>
    <t>bisi.adekunle@outlook.com</t>
  </si>
  <si>
    <t>0122-202-9729</t>
  </si>
  <si>
    <t>26/04/2024</t>
  </si>
  <si>
    <t>handbag</t>
  </si>
  <si>
    <t>Musa Balogun</t>
  </si>
  <si>
    <t>musa.balogun@gmail.com</t>
  </si>
  <si>
    <t>0895-559-7971</t>
  </si>
  <si>
    <t>13/05/2024</t>
  </si>
  <si>
    <t>Precious Umeh</t>
  </si>
  <si>
    <t xml:space="preserve">precious.umeh@gmail.com </t>
  </si>
  <si>
    <t>08033401878</t>
  </si>
  <si>
    <t>02/01/2024</t>
  </si>
  <si>
    <t>Victor Ibrahim</t>
  </si>
  <si>
    <t>victor.ibrahim@yahoo.com</t>
  </si>
  <si>
    <t>05203409305</t>
  </si>
  <si>
    <t xml:space="preserve">  port harcourt</t>
  </si>
  <si>
    <t>2024-02-26</t>
  </si>
  <si>
    <t xml:space="preserve">  Precious Ibrahim</t>
  </si>
  <si>
    <t>PRECIOUS.IBRAHIM@YAHOO.COM</t>
  </si>
  <si>
    <t>0341-213-6224</t>
  </si>
  <si>
    <t xml:space="preserve">IBADAN </t>
  </si>
  <si>
    <t>2024-04-02</t>
  </si>
  <si>
    <t xml:space="preserve">  FUNKE ABUBAKAR</t>
  </si>
  <si>
    <t>funke.abubakar@outlook.com</t>
  </si>
  <si>
    <t>04259472487</t>
  </si>
  <si>
    <t>Chinedu Balogun</t>
  </si>
  <si>
    <t>CHINEDU.BALOGUN@YAHOO.COM</t>
  </si>
  <si>
    <t>0966-850-2739</t>
  </si>
  <si>
    <t xml:space="preserve">  Lagos</t>
  </si>
  <si>
    <t>23/05/2024</t>
  </si>
  <si>
    <t xml:space="preserve">Chiamaka Nwosu </t>
  </si>
  <si>
    <t>chiamaka.nwosu@gmail.com</t>
  </si>
  <si>
    <t>05404868443</t>
  </si>
  <si>
    <t>YUSUF YUSUF</t>
  </si>
  <si>
    <t>YUSUF.YUSUF@YAHOO.COM</t>
  </si>
  <si>
    <t>0640-544-0559</t>
  </si>
  <si>
    <t>27/05/2024</t>
  </si>
  <si>
    <t xml:space="preserve">  Adaeze Umeh </t>
  </si>
  <si>
    <t xml:space="preserve">  ADAEZE.UMEH@OUTLOOK.COM</t>
  </si>
  <si>
    <t>01067924708</t>
  </si>
  <si>
    <t>08/04/2024</t>
  </si>
  <si>
    <t>Abdullahi Adekunle</t>
  </si>
  <si>
    <t>abdullahi.adekunle@yahoo.com</t>
  </si>
  <si>
    <t>01760313721</t>
  </si>
  <si>
    <t>LAGOS</t>
  </si>
  <si>
    <t>2024-02-20</t>
  </si>
  <si>
    <t>Sani Sanni</t>
  </si>
  <si>
    <t xml:space="preserve">  sani.sanni@yahoo.com</t>
  </si>
  <si>
    <t>01402614014</t>
  </si>
  <si>
    <t>2024-02-02</t>
  </si>
  <si>
    <t xml:space="preserve">Adaeze Okafor </t>
  </si>
  <si>
    <t xml:space="preserve">  ADAEZE.OKAFOR@YAHOO.COM</t>
  </si>
  <si>
    <t>07642656515</t>
  </si>
  <si>
    <t>2024-01-26</t>
  </si>
  <si>
    <t>kelechi adeyemi</t>
  </si>
  <si>
    <t xml:space="preserve">  KELECHI.ADEYEMI@GMAIL.COM </t>
  </si>
  <si>
    <t>00018263304</t>
  </si>
  <si>
    <t xml:space="preserve">  KANO</t>
  </si>
  <si>
    <t>2024-01-08</t>
  </si>
  <si>
    <t>OBINNA NWOSU</t>
  </si>
  <si>
    <t>obinna.nwosu@yahoo.com</t>
  </si>
  <si>
    <t>07617409319</t>
  </si>
  <si>
    <t xml:space="preserve">  adaeze eze</t>
  </si>
  <si>
    <t>adaeze.eze77@yahoo.com</t>
  </si>
  <si>
    <t>0651-788-0021</t>
  </si>
  <si>
    <t xml:space="preserve">  Port Harcourt</t>
  </si>
  <si>
    <t xml:space="preserve">YUSUF ABUBAKAR </t>
  </si>
  <si>
    <t xml:space="preserve">YUSUF.ABUBAKAR@OUTLOOK.COM </t>
  </si>
  <si>
    <t>03643900847</t>
  </si>
  <si>
    <t xml:space="preserve">port harcourt </t>
  </si>
  <si>
    <t xml:space="preserve">  Ibrahim Nwachukwu</t>
  </si>
  <si>
    <t xml:space="preserve">  ibrahim.nwachukwu@outlook.com</t>
  </si>
  <si>
    <t>03064003761</t>
  </si>
  <si>
    <t xml:space="preserve">ENUGU </t>
  </si>
  <si>
    <t>19/05/2024</t>
  </si>
  <si>
    <t xml:space="preserve">Chiamaka Yusuf </t>
  </si>
  <si>
    <t>chiamaka.yusuf@outlook.com</t>
  </si>
  <si>
    <t>05545904544</t>
  </si>
  <si>
    <t>28/02/2024</t>
  </si>
  <si>
    <t>Uche Okonkwo</t>
  </si>
  <si>
    <t xml:space="preserve">  uche.okonkwo@gmail.com</t>
  </si>
  <si>
    <t>0948-219-9351</t>
  </si>
  <si>
    <t>07/02/2024</t>
  </si>
  <si>
    <t>ZAINAB ADEYEMI</t>
  </si>
  <si>
    <t xml:space="preserve">ZAINAB.ADEYEMI@YAHOO.COM </t>
  </si>
  <si>
    <t>05759183623</t>
  </si>
  <si>
    <t xml:space="preserve">  FEMI ADEYEMI </t>
  </si>
  <si>
    <t xml:space="preserve">  femi.adeyemi@gmail.com</t>
  </si>
  <si>
    <t>01815908301</t>
  </si>
  <si>
    <t>2024-04-13</t>
  </si>
  <si>
    <t>sneakers</t>
  </si>
  <si>
    <t xml:space="preserve">  ZAINAB OBI</t>
  </si>
  <si>
    <t>zainab.obi@gmail.com</t>
  </si>
  <si>
    <t>07074137484</t>
  </si>
  <si>
    <t>2024-05-21</t>
  </si>
  <si>
    <t>TELEVISION</t>
  </si>
  <si>
    <t xml:space="preserve">  NKECHI IBRAHIM</t>
  </si>
  <si>
    <t xml:space="preserve">  NKECHI.IBRAHIM@GMAIL.COM </t>
  </si>
  <si>
    <t>05656304813</t>
  </si>
  <si>
    <t>23/03/2024</t>
  </si>
  <si>
    <t xml:space="preserve">TOBI IBRAHIM </t>
  </si>
  <si>
    <t>tobi.ibrahim@yahoo.com</t>
  </si>
  <si>
    <t>0200-977-3797</t>
  </si>
  <si>
    <t>Ibadan</t>
  </si>
  <si>
    <t>2024-03-07</t>
  </si>
  <si>
    <t>Victor Okoro</t>
  </si>
  <si>
    <t xml:space="preserve">VICTOR.OKORO@GMAIL.COM </t>
  </si>
  <si>
    <t>04078066717</t>
  </si>
  <si>
    <t xml:space="preserve">Lagos </t>
  </si>
  <si>
    <t>2024-06-02</t>
  </si>
  <si>
    <t xml:space="preserve">  Fatima Suleiman </t>
  </si>
  <si>
    <t xml:space="preserve">fatima.suleiman@yahoo.com </t>
  </si>
  <si>
    <t>0163-624-6770</t>
  </si>
  <si>
    <t xml:space="preserve">  YUSUF OKAFOR</t>
  </si>
  <si>
    <t>yusuf.okafor@outlook.com</t>
  </si>
  <si>
    <t>0159-013-9624</t>
  </si>
  <si>
    <t>28/03/2024</t>
  </si>
  <si>
    <t>amina abubakar</t>
  </si>
  <si>
    <t>amina.abubakar@gmail.com</t>
  </si>
  <si>
    <t>0023-904-2486</t>
  </si>
  <si>
    <t>12/04/2024</t>
  </si>
  <si>
    <t xml:space="preserve">Halima Bello </t>
  </si>
  <si>
    <t>HALIMA.BELLO@GMAIL.COM</t>
  </si>
  <si>
    <t>00666836450</t>
  </si>
  <si>
    <t>2024-04-28</t>
  </si>
  <si>
    <t>ADAEZE EZE</t>
  </si>
  <si>
    <t>adaeze.eze@gmail.com</t>
  </si>
  <si>
    <t>0044-516-6915</t>
  </si>
  <si>
    <t>20/02/2024</t>
  </si>
  <si>
    <t>Victor Okafor</t>
  </si>
  <si>
    <t xml:space="preserve">  victor.okafor@gmail.com </t>
  </si>
  <si>
    <t>0681-570-8931</t>
  </si>
  <si>
    <t>2024-06-08</t>
  </si>
  <si>
    <t>Fatima Eze</t>
  </si>
  <si>
    <t>FATIMA.EZE@GMAIL.COM</t>
  </si>
  <si>
    <t>0520-002-0101</t>
  </si>
  <si>
    <t>2024-02-10</t>
  </si>
  <si>
    <t>ngozi okafor</t>
  </si>
  <si>
    <t xml:space="preserve">  ngozi.okafor@yahoo.com</t>
  </si>
  <si>
    <t>01858369492</t>
  </si>
  <si>
    <t xml:space="preserve">kano </t>
  </si>
  <si>
    <t>2024-06-20</t>
  </si>
  <si>
    <t xml:space="preserve">  Chukwudi Sanni </t>
  </si>
  <si>
    <t xml:space="preserve">  chukwudi.sanni@gmail.com </t>
  </si>
  <si>
    <t>0687-731-3228</t>
  </si>
  <si>
    <t>2024-01-01</t>
  </si>
  <si>
    <t xml:space="preserve">  chukwudi abubakar</t>
  </si>
  <si>
    <t xml:space="preserve">chukwudi.abubakar6@outlook.com </t>
  </si>
  <si>
    <t>0497-465-0752</t>
  </si>
  <si>
    <t>16/05/2024</t>
  </si>
  <si>
    <t xml:space="preserve">Chinedu Okoro </t>
  </si>
  <si>
    <t xml:space="preserve">CHINEDU.OKORO@GMAIL.COM </t>
  </si>
  <si>
    <t>03253659368</t>
  </si>
  <si>
    <t xml:space="preserve">  Kano</t>
  </si>
  <si>
    <t>2024-03-22</t>
  </si>
  <si>
    <t xml:space="preserve">  Blessing Balogun</t>
  </si>
  <si>
    <t xml:space="preserve">  BLESSING.BALOGUN@GMAIL.COM</t>
  </si>
  <si>
    <t>0098-326-3898</t>
  </si>
  <si>
    <t>01/05/2024</t>
  </si>
  <si>
    <t xml:space="preserve">  emeka eze </t>
  </si>
  <si>
    <t xml:space="preserve">  emeka.eze@gmail.com</t>
  </si>
  <si>
    <t>0420-750-9619</t>
  </si>
  <si>
    <t xml:space="preserve">  Tunde Nwachukwu</t>
  </si>
  <si>
    <t>tunde.nwachukwu@yahoo.com</t>
  </si>
  <si>
    <t>02611491316</t>
  </si>
  <si>
    <t xml:space="preserve">  AMINA OKAFOR </t>
  </si>
  <si>
    <t xml:space="preserve">  AMINA.OKAFOR@OUTLOOK.COM</t>
  </si>
  <si>
    <t>0603-699-6393</t>
  </si>
  <si>
    <t>enugu</t>
  </si>
  <si>
    <t>2024-05-24</t>
  </si>
  <si>
    <t>AISHA ADEKUNLE</t>
  </si>
  <si>
    <t>AISHA.ADEKUNLE@GMAIL.COM</t>
  </si>
  <si>
    <t>0062-611-6957</t>
  </si>
  <si>
    <t xml:space="preserve">Bisi Bello </t>
  </si>
  <si>
    <t>01836546107</t>
  </si>
  <si>
    <t>03/06/2024</t>
  </si>
  <si>
    <t xml:space="preserve">  aisha ibrahim</t>
  </si>
  <si>
    <t>AISHA.IBRAHIM@OUTLOOK.COM</t>
  </si>
  <si>
    <t>0505-877-0658</t>
  </si>
  <si>
    <t>Chinedu Okafor</t>
  </si>
  <si>
    <t>chinedu.okafor@outlook.com</t>
  </si>
  <si>
    <t>0387-371-6786</t>
  </si>
  <si>
    <t>24/04/2024</t>
  </si>
  <si>
    <t>CHIAMAKA BALOGUN</t>
  </si>
  <si>
    <t>0483-478-2450</t>
  </si>
  <si>
    <t xml:space="preserve">  lagos </t>
  </si>
  <si>
    <t>2024-02-17</t>
  </si>
  <si>
    <t xml:space="preserve">  BLESSING OKONKWO</t>
  </si>
  <si>
    <t xml:space="preserve">  BLESSING.OKONKWO96@GMAIL.COM </t>
  </si>
  <si>
    <t>04005717279</t>
  </si>
  <si>
    <t>13/01/2024</t>
  </si>
  <si>
    <t>Tobi Lawal</t>
  </si>
  <si>
    <t xml:space="preserve">  TOBI.LAWAL@YAHOO.COM </t>
  </si>
  <si>
    <t>2024-06-28</t>
  </si>
  <si>
    <t>DAMILOLA YUSUF</t>
  </si>
  <si>
    <t>damilola.yusuf@gmail.com</t>
  </si>
  <si>
    <t>0436-700-6638</t>
  </si>
  <si>
    <t>2024-03-20</t>
  </si>
  <si>
    <t xml:space="preserve">  Abdullahi Bello</t>
  </si>
  <si>
    <t xml:space="preserve">  ABDULLAHI.BELLO@YAHOO.COM</t>
  </si>
  <si>
    <t>0632-122-3307</t>
  </si>
  <si>
    <t>2024-05-25</t>
  </si>
  <si>
    <t xml:space="preserve">Funke Umeh </t>
  </si>
  <si>
    <t xml:space="preserve">FUNKE.UMEH@OUTLOOK.COM </t>
  </si>
  <si>
    <t>05393363387</t>
  </si>
  <si>
    <t>2024-03-11</t>
  </si>
  <si>
    <t xml:space="preserve">VICTOR LAWAL </t>
  </si>
  <si>
    <t>victor.lawal@yahoo.com</t>
  </si>
  <si>
    <t>2024-01-23</t>
  </si>
  <si>
    <t>Price</t>
  </si>
  <si>
    <t>GreenLeaf Retail Nigeria- Sales Dashboard</t>
  </si>
  <si>
    <t>Row Labels</t>
  </si>
  <si>
    <t>(blank)</t>
  </si>
  <si>
    <t>Grand Total</t>
  </si>
  <si>
    <t>Column Labels</t>
  </si>
  <si>
    <t>Sum of Amount</t>
  </si>
  <si>
    <t>Count of Amount</t>
  </si>
  <si>
    <t>Missing</t>
  </si>
  <si>
    <t>Pivot Summary</t>
  </si>
  <si>
    <t>Jan</t>
  </si>
  <si>
    <t>Feb</t>
  </si>
  <si>
    <t>Mar</t>
  </si>
  <si>
    <t>Apr</t>
  </si>
  <si>
    <t>May</t>
  </si>
  <si>
    <t>Jun</t>
  </si>
  <si>
    <t>Pivot Summary is linked to the Dashboard</t>
  </si>
  <si>
    <r>
      <t xml:space="preserve">Jan- Jun 2026 </t>
    </r>
    <r>
      <rPr>
        <sz val="12"/>
        <color theme="1" tint="0.499984740745262"/>
        <rFont val="Calibri"/>
        <family val="2"/>
      </rPr>
      <t>|</t>
    </r>
    <r>
      <rPr>
        <i/>
        <sz val="12"/>
        <color theme="1" tint="0.499984740745262"/>
        <rFont val="Calibri"/>
        <family val="2"/>
      </rPr>
      <t xml:space="preserve"> Dashboard is linked to the Pivot Summary</t>
    </r>
  </si>
  <si>
    <t>Total Units Sold</t>
  </si>
  <si>
    <t>Total Orders</t>
  </si>
  <si>
    <t>Average Order Value (NGN)</t>
  </si>
  <si>
    <t>Total Sales (NGN)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</si>
</sst>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yyyy"/>
    <numFmt numFmtId="168" formatCode="_(* #,##0_);_(* \(#,##0\);_(* &quot;-&quot;??_);_(@_)"/>
  </numFmts>
  <fonts count="10" x14ac:knownFonts="1">
    <font>
      <sz val="11"/>
      <color theme="1"/>
      <name val="Calibri"/>
      <family val="2"/>
      <charset val="1"/>
    </font>
    <font>
      <b/>
      <sz val="11"/>
      <color rgb="FFFFFFFF"/>
      <name val="Arial"/>
      <family val="2"/>
    </font>
    <font>
      <sz val="10"/>
      <name val="Arial"/>
      <family val="2"/>
    </font>
    <font>
      <sz val="11"/>
      <color theme="1"/>
      <name val="Calibri"/>
      <family val="2"/>
      <charset val="1"/>
    </font>
    <font>
      <b/>
      <sz val="24"/>
      <color theme="0"/>
      <name val="Calibri"/>
      <family val="2"/>
    </font>
    <font>
      <i/>
      <sz val="12"/>
      <color theme="1" tint="0.499984740745262"/>
      <name val="Calibri"/>
      <family val="2"/>
    </font>
    <font>
      <i/>
      <sz val="11"/>
      <color theme="1" tint="0.499984740745262"/>
      <name val="Calibri"/>
      <family val="2"/>
    </font>
    <font>
      <sz val="12"/>
      <color theme="1" tint="0.499984740745262"/>
      <name val="Calibri"/>
      <family val="2"/>
    </font>
    <font>
      <b/>
      <sz val="12"/>
      <color theme="1"/>
      <name val="Calibri"/>
      <family val="2"/>
    </font>
    <font>
      <b/>
      <sz val="16"/>
      <color theme="0"/>
      <name val="Calibri"/>
      <family val="2"/>
    </font>
  </fonts>
  <fills count="6">
    <fill>
      <patternFill patternType="none"/>
    </fill>
    <fill>
      <patternFill patternType="gray125"/>
    </fill>
    <fill>
      <patternFill patternType="solid">
        <fgColor theme="6" tint="-0.249977111117893"/>
        <bgColor rgb="FF003366"/>
      </patternFill>
    </fill>
    <fill>
      <patternFill patternType="solid">
        <fgColor theme="6" tint="-0.499984740745262"/>
        <bgColor indexed="64"/>
      </patternFill>
    </fill>
    <fill>
      <patternFill patternType="solid">
        <fgColor theme="6"/>
        <bgColor indexed="64"/>
      </patternFill>
    </fill>
    <fill>
      <patternFill patternType="solid">
        <fgColor theme="6" tint="-0.249977111117893"/>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39">
    <xf numFmtId="0" fontId="0" fillId="0" borderId="0" xfId="0"/>
    <xf numFmtId="0" fontId="2" fillId="0" borderId="1" xfId="0" applyFont="1" applyBorder="1"/>
    <xf numFmtId="0" fontId="1" fillId="2" borderId="1" xfId="0" applyFont="1" applyFill="1" applyBorder="1" applyAlignment="1">
      <alignment horizontal="center" vertical="center" wrapText="1"/>
    </xf>
    <xf numFmtId="164" fontId="2" fillId="0" borderId="1" xfId="0" applyNumberFormat="1" applyFont="1" applyBorder="1"/>
    <xf numFmtId="0" fontId="4" fillId="3" borderId="0" xfId="0" applyFont="1" applyFill="1" applyAlignment="1">
      <alignment horizontal="center"/>
    </xf>
    <xf numFmtId="0" fontId="0" fillId="0" borderId="0" xfId="0" applyFill="1"/>
    <xf numFmtId="0" fontId="5" fillId="0" borderId="0" xfId="0" applyFont="1" applyFill="1" applyAlignment="1">
      <alignment horizontal="center"/>
    </xf>
    <xf numFmtId="0" fontId="5" fillId="0" borderId="0" xfId="0" applyFont="1" applyFill="1" applyAlignment="1">
      <alignment horizontal="center"/>
    </xf>
    <xf numFmtId="0" fontId="5" fillId="4"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4" borderId="0" xfId="0" applyFill="1" applyAlignment="1">
      <alignment horizontal="center"/>
    </xf>
    <xf numFmtId="0" fontId="6" fillId="0" borderId="0" xfId="0" applyFont="1" applyAlignment="1">
      <alignment horizontal="center"/>
    </xf>
    <xf numFmtId="0" fontId="8"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0" fillId="0" borderId="7" xfId="0" applyBorder="1"/>
    <xf numFmtId="0" fontId="0" fillId="0" borderId="8" xfId="0" applyBorder="1"/>
    <xf numFmtId="0" fontId="0" fillId="0" borderId="9" xfId="0" applyBorder="1"/>
    <xf numFmtId="0" fontId="8" fillId="5" borderId="3" xfId="0" applyFont="1" applyFill="1" applyBorder="1" applyAlignment="1">
      <alignment horizontal="center"/>
    </xf>
    <xf numFmtId="0" fontId="8" fillId="5" borderId="4" xfId="0" applyFont="1" applyFill="1" applyBorder="1" applyAlignment="1">
      <alignment horizontal="center"/>
    </xf>
    <xf numFmtId="0" fontId="0" fillId="5" borderId="0" xfId="0" applyFill="1"/>
    <xf numFmtId="43" fontId="0" fillId="0" borderId="0" xfId="0" applyNumberFormat="1" applyFill="1"/>
    <xf numFmtId="0" fontId="9" fillId="4" borderId="5" xfId="0" applyFont="1" applyFill="1" applyBorder="1" applyAlignment="1">
      <alignment horizontal="center" vertical="center"/>
    </xf>
    <xf numFmtId="0" fontId="9" fillId="4" borderId="0"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43" fontId="9" fillId="4" borderId="5" xfId="1" applyFont="1" applyFill="1" applyBorder="1" applyAlignment="1">
      <alignment horizontal="center" vertical="center"/>
    </xf>
    <xf numFmtId="43" fontId="9" fillId="4" borderId="0" xfId="1" applyFont="1" applyFill="1" applyBorder="1" applyAlignment="1">
      <alignment horizontal="center" vertical="center"/>
    </xf>
    <xf numFmtId="43" fontId="9" fillId="4" borderId="6" xfId="1" applyFont="1" applyFill="1" applyBorder="1" applyAlignment="1">
      <alignment horizontal="center" vertical="center"/>
    </xf>
    <xf numFmtId="168" fontId="9" fillId="4" borderId="5" xfId="1" applyNumberFormat="1" applyFont="1" applyFill="1" applyBorder="1" applyAlignment="1">
      <alignment horizontal="left" vertical="center" indent="3"/>
    </xf>
    <xf numFmtId="168" fontId="9" fillId="4" borderId="0" xfId="1" applyNumberFormat="1" applyFont="1" applyFill="1" applyBorder="1" applyAlignment="1">
      <alignment horizontal="left" vertical="center" indent="3"/>
    </xf>
    <xf numFmtId="168" fontId="9" fillId="4" borderId="6" xfId="1" applyNumberFormat="1" applyFont="1" applyFill="1" applyBorder="1" applyAlignment="1">
      <alignment horizontal="left" vertical="center" indent="3"/>
    </xf>
    <xf numFmtId="168" fontId="9" fillId="4" borderId="7" xfId="1" applyNumberFormat="1" applyFont="1" applyFill="1" applyBorder="1" applyAlignment="1">
      <alignment horizontal="left" vertical="center" indent="3"/>
    </xf>
    <xf numFmtId="168" fontId="9" fillId="4" borderId="8" xfId="1" applyNumberFormat="1" applyFont="1" applyFill="1" applyBorder="1" applyAlignment="1">
      <alignment horizontal="left" vertical="center" indent="3"/>
    </xf>
    <xf numFmtId="168" fontId="9" fillId="4" borderId="9" xfId="1" applyNumberFormat="1" applyFont="1" applyFill="1" applyBorder="1" applyAlignment="1">
      <alignment horizontal="left" vertical="center" indent="3"/>
    </xf>
  </cellXfs>
  <cellStyles count="2">
    <cellStyle name="Comma" xfId="1" builtin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2E75B6"/>
      <rgbColor rgb="FF4BACC6"/>
      <rgbColor rgb="FF9BBB59"/>
      <rgbColor rgb="FFFFCC00"/>
      <rgbColor rgb="FFF79646"/>
      <rgbColor rgb="FFFF6600"/>
      <rgbColor rgb="FF8064A2"/>
      <rgbColor rgb="FF878787"/>
      <rgbColor rgb="FF003366"/>
      <rgbColor rgb="FF4F81BD"/>
      <rgbColor rgb="FF003300"/>
      <rgbColor rgb="FF333300"/>
      <rgbColor rgb="FF993300"/>
      <rgbColor rgb="FF993366"/>
      <rgbColor rgb="FF1F4E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Retail Sales.xlsx]Pivot Summary!PivotTable6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No. of Products Sold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Summary'!$B$3</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Summary'!$A$4:$A$11</c:f>
              <c:strCache>
                <c:ptCount val="8"/>
                <c:pt idx="0">
                  <c:v>Blender</c:v>
                </c:pt>
                <c:pt idx="1">
                  <c:v>Handbag</c:v>
                </c:pt>
                <c:pt idx="2">
                  <c:v>Headphones</c:v>
                </c:pt>
                <c:pt idx="3">
                  <c:v>Laptop</c:v>
                </c:pt>
                <c:pt idx="4">
                  <c:v>Smartphone</c:v>
                </c:pt>
                <c:pt idx="5">
                  <c:v>Sneakers</c:v>
                </c:pt>
                <c:pt idx="6">
                  <c:v>Television</c:v>
                </c:pt>
                <c:pt idx="7">
                  <c:v>Wrist Watch</c:v>
                </c:pt>
              </c:strCache>
            </c:strRef>
          </c:cat>
          <c:val>
            <c:numRef>
              <c:f>'Pivot Summary'!$B$4:$B$11</c:f>
              <c:numCache>
                <c:formatCode>General</c:formatCode>
                <c:ptCount val="8"/>
                <c:pt idx="0">
                  <c:v>14</c:v>
                </c:pt>
                <c:pt idx="1">
                  <c:v>14</c:v>
                </c:pt>
                <c:pt idx="2">
                  <c:v>11</c:v>
                </c:pt>
                <c:pt idx="3">
                  <c:v>16</c:v>
                </c:pt>
                <c:pt idx="4">
                  <c:v>15</c:v>
                </c:pt>
                <c:pt idx="5">
                  <c:v>7</c:v>
                </c:pt>
                <c:pt idx="6">
                  <c:v>11</c:v>
                </c:pt>
                <c:pt idx="7">
                  <c:v>17</c:v>
                </c:pt>
              </c:numCache>
            </c:numRef>
          </c:val>
          <c:extLst>
            <c:ext xmlns:c16="http://schemas.microsoft.com/office/drawing/2014/chart" uri="{C3380CC4-5D6E-409C-BE32-E72D297353CC}">
              <c16:uniqueId val="{00000000-3C34-4098-88F7-302B2F152177}"/>
            </c:ext>
          </c:extLst>
        </c:ser>
        <c:dLbls>
          <c:dLblPos val="inEnd"/>
          <c:showLegendKey val="0"/>
          <c:showVal val="1"/>
          <c:showCatName val="0"/>
          <c:showSerName val="0"/>
          <c:showPercent val="0"/>
          <c:showBubbleSize val="0"/>
        </c:dLbls>
        <c:gapWidth val="100"/>
        <c:overlap val="-24"/>
        <c:axId val="1894295184"/>
        <c:axId val="1877909824"/>
      </c:barChart>
      <c:catAx>
        <c:axId val="1894295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09824"/>
        <c:crosses val="autoZero"/>
        <c:auto val="1"/>
        <c:lblAlgn val="ctr"/>
        <c:lblOffset val="100"/>
        <c:noMultiLvlLbl val="0"/>
      </c:catAx>
      <c:valAx>
        <c:axId val="187790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295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Retail Sales.xlsx]Pivot Summary!PivotTable11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Summary'!$B$13</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AC8B-4D18-8765-0E4D8602B74E}"/>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AC8B-4D18-8765-0E4D8602B74E}"/>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AC8B-4D18-8765-0E4D8602B74E}"/>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AC8B-4D18-8765-0E4D8602B74E}"/>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AC8B-4D18-8765-0E4D8602B74E}"/>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AC8B-4D18-8765-0E4D8602B74E}"/>
              </c:ext>
            </c:extLst>
          </c:dPt>
          <c:dPt>
            <c:idx val="6"/>
            <c:bubble3D val="0"/>
            <c:spPr>
              <a:gradFill>
                <a:gsLst>
                  <a:gs pos="0">
                    <a:schemeClr val="accent1">
                      <a:lumMod val="60000"/>
                      <a:shade val="51000"/>
                    </a:schemeClr>
                  </a:gs>
                  <a:gs pos="80000">
                    <a:schemeClr val="accent1">
                      <a:lumMod val="60000"/>
                      <a:shade val="93000"/>
                    </a:schemeClr>
                  </a:gs>
                  <a:gs pos="100000">
                    <a:schemeClr val="accent1">
                      <a:lumMod val="60000"/>
                      <a:shade val="94000"/>
                    </a:schemeClr>
                  </a:gs>
                </a:gsLst>
                <a:lin ang="16200000" scaled="0"/>
                <a:tileRect/>
              </a:gradFill>
              <a:ln>
                <a:noFill/>
              </a:ln>
              <a:effectLst/>
            </c:spPr>
            <c:extLst>
              <c:ext xmlns:c16="http://schemas.microsoft.com/office/drawing/2014/chart" uri="{C3380CC4-5D6E-409C-BE32-E72D297353CC}">
                <c16:uniqueId val="{0000000D-AC8B-4D18-8765-0E4D8602B74E}"/>
              </c:ext>
            </c:extLst>
          </c:dPt>
          <c:dPt>
            <c:idx val="7"/>
            <c:bubble3D val="0"/>
            <c:spPr>
              <a:gradFill>
                <a:gsLst>
                  <a:gs pos="0">
                    <a:schemeClr val="accent2">
                      <a:lumMod val="60000"/>
                      <a:shade val="51000"/>
                    </a:schemeClr>
                  </a:gs>
                  <a:gs pos="80000">
                    <a:schemeClr val="accent2">
                      <a:lumMod val="60000"/>
                      <a:shade val="93000"/>
                    </a:schemeClr>
                  </a:gs>
                  <a:gs pos="100000">
                    <a:schemeClr val="accent2">
                      <a:lumMod val="60000"/>
                      <a:shade val="94000"/>
                    </a:schemeClr>
                  </a:gs>
                </a:gsLst>
                <a:lin ang="16200000" scaled="0"/>
                <a:tileRect/>
              </a:gradFill>
              <a:ln>
                <a:noFill/>
              </a:ln>
              <a:effectLst/>
            </c:spPr>
            <c:extLst>
              <c:ext xmlns:c16="http://schemas.microsoft.com/office/drawing/2014/chart" uri="{C3380CC4-5D6E-409C-BE32-E72D297353CC}">
                <c16:uniqueId val="{0000000F-AC8B-4D18-8765-0E4D8602B7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Summary'!$A$14:$A$22</c:f>
              <c:strCache>
                <c:ptCount val="8"/>
                <c:pt idx="0">
                  <c:v>Abuja</c:v>
                </c:pt>
                <c:pt idx="1">
                  <c:v>Enugu</c:v>
                </c:pt>
                <c:pt idx="2">
                  <c:v>Ibadan</c:v>
                </c:pt>
                <c:pt idx="3">
                  <c:v>Kano</c:v>
                </c:pt>
                <c:pt idx="4">
                  <c:v>Lagos</c:v>
                </c:pt>
                <c:pt idx="5">
                  <c:v>Missing</c:v>
                </c:pt>
                <c:pt idx="6">
                  <c:v>Port Harcourt</c:v>
                </c:pt>
                <c:pt idx="7">
                  <c:v>(blank)</c:v>
                </c:pt>
              </c:strCache>
            </c:strRef>
          </c:cat>
          <c:val>
            <c:numRef>
              <c:f>'Pivot Summary'!$B$14:$B$22</c:f>
              <c:numCache>
                <c:formatCode>General</c:formatCode>
                <c:ptCount val="8"/>
                <c:pt idx="0">
                  <c:v>3705000</c:v>
                </c:pt>
                <c:pt idx="1">
                  <c:v>3605000</c:v>
                </c:pt>
                <c:pt idx="2">
                  <c:v>5160000</c:v>
                </c:pt>
                <c:pt idx="3">
                  <c:v>5980000</c:v>
                </c:pt>
                <c:pt idx="4">
                  <c:v>9910000</c:v>
                </c:pt>
                <c:pt idx="5">
                  <c:v>2605000</c:v>
                </c:pt>
                <c:pt idx="6">
                  <c:v>13470000</c:v>
                </c:pt>
              </c:numCache>
            </c:numRef>
          </c:val>
          <c:extLst>
            <c:ext xmlns:c16="http://schemas.microsoft.com/office/drawing/2014/chart" uri="{C3380CC4-5D6E-409C-BE32-E72D297353CC}">
              <c16:uniqueId val="{00000010-AC8B-4D18-8765-0E4D8602B74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Retail Sales.xlsx]Pivot Summary!PivotTable13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Summary'!$H$3</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cat>
            <c:strRef>
              <c:f>'Pivot Summary'!$G$4:$G$10</c:f>
              <c:strCache>
                <c:ptCount val="6"/>
                <c:pt idx="0">
                  <c:v>Jan</c:v>
                </c:pt>
                <c:pt idx="1">
                  <c:v>Feb</c:v>
                </c:pt>
                <c:pt idx="2">
                  <c:v>Mar</c:v>
                </c:pt>
                <c:pt idx="3">
                  <c:v>Apr</c:v>
                </c:pt>
                <c:pt idx="4">
                  <c:v>May</c:v>
                </c:pt>
                <c:pt idx="5">
                  <c:v>Jun</c:v>
                </c:pt>
              </c:strCache>
            </c:strRef>
          </c:cat>
          <c:val>
            <c:numRef>
              <c:f>'Pivot Summary'!$H$4:$H$10</c:f>
              <c:numCache>
                <c:formatCode>General</c:formatCode>
                <c:ptCount val="6"/>
                <c:pt idx="0">
                  <c:v>11620000</c:v>
                </c:pt>
                <c:pt idx="1">
                  <c:v>10175000</c:v>
                </c:pt>
                <c:pt idx="2">
                  <c:v>1120000</c:v>
                </c:pt>
                <c:pt idx="3">
                  <c:v>6125000</c:v>
                </c:pt>
                <c:pt idx="4">
                  <c:v>11465000</c:v>
                </c:pt>
                <c:pt idx="5">
                  <c:v>3930000</c:v>
                </c:pt>
              </c:numCache>
            </c:numRef>
          </c:val>
          <c:smooth val="0"/>
          <c:extLst>
            <c:ext xmlns:c16="http://schemas.microsoft.com/office/drawing/2014/chart" uri="{C3380CC4-5D6E-409C-BE32-E72D297353CC}">
              <c16:uniqueId val="{00000000-2EF5-4A64-8EEC-C7FE6361094A}"/>
            </c:ext>
          </c:extLst>
        </c:ser>
        <c:dLbls>
          <c:showLegendKey val="0"/>
          <c:showVal val="0"/>
          <c:showCatName val="0"/>
          <c:showSerName val="0"/>
          <c:showPercent val="0"/>
          <c:showBubbleSize val="0"/>
        </c:dLbls>
        <c:marker val="1"/>
        <c:smooth val="0"/>
        <c:axId val="1877266960"/>
        <c:axId val="1877911744"/>
      </c:lineChart>
      <c:catAx>
        <c:axId val="1877266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11744"/>
        <c:crosses val="autoZero"/>
        <c:auto val="1"/>
        <c:lblAlgn val="ctr"/>
        <c:lblOffset val="100"/>
        <c:noMultiLvlLbl val="0"/>
      </c:catAx>
      <c:valAx>
        <c:axId val="1877911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NGN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26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 Retail Sales.xlsx]Pivot Summary!PivotTable14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Products Sold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4">
                    <a:shade val="51000"/>
                  </a:schemeClr>
                </a:gs>
                <a:gs pos="80000">
                  <a:schemeClr val="accent4">
                    <a:shade val="93000"/>
                  </a:schemeClr>
                </a:gs>
                <a:gs pos="100000">
                  <a:schemeClr val="accent4">
                    <a:shade val="94000"/>
                  </a:schemeClr>
                </a:gs>
              </a:gsLst>
              <a:lin ang="16200000" scaled="0"/>
              <a:tileRect/>
            </a:gra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5">
                    <a:shade val="51000"/>
                  </a:schemeClr>
                </a:gs>
                <a:gs pos="80000">
                  <a:schemeClr val="accent5">
                    <a:shade val="93000"/>
                  </a:schemeClr>
                </a:gs>
                <a:gs pos="100000">
                  <a:schemeClr val="accent5">
                    <a:shade val="94000"/>
                  </a:schemeClr>
                </a:gs>
              </a:gsLst>
              <a:lin ang="16200000" scaled="0"/>
              <a:tileRect/>
            </a:gra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6">
                    <a:shade val="51000"/>
                  </a:schemeClr>
                </a:gs>
                <a:gs pos="80000">
                  <a:schemeClr val="accent6">
                    <a:shade val="93000"/>
                  </a:schemeClr>
                </a:gs>
                <a:gs pos="100000">
                  <a:schemeClr val="accent6">
                    <a:shade val="94000"/>
                  </a:schemeClr>
                </a:gs>
              </a:gsLst>
              <a:lin ang="16200000" scaled="0"/>
              <a:tileRect/>
            </a:gra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lumMod val="60000"/>
                    <a:shade val="51000"/>
                  </a:schemeClr>
                </a:gs>
                <a:gs pos="80000">
                  <a:schemeClr val="accent1">
                    <a:lumMod val="60000"/>
                    <a:shade val="93000"/>
                  </a:schemeClr>
                </a:gs>
                <a:gs pos="100000">
                  <a:schemeClr val="accent1">
                    <a:lumMod val="60000"/>
                    <a:shade val="94000"/>
                  </a:schemeClr>
                </a:gs>
              </a:gsLst>
              <a:lin ang="16200000" scaled="0"/>
              <a:tileRect/>
            </a:gradFill>
            <a:ln w="952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2">
                    <a:lumMod val="60000"/>
                    <a:shade val="51000"/>
                  </a:schemeClr>
                </a:gs>
                <a:gs pos="80000">
                  <a:schemeClr val="accent2">
                    <a:lumMod val="60000"/>
                    <a:shade val="93000"/>
                  </a:schemeClr>
                </a:gs>
                <a:gs pos="100000">
                  <a:schemeClr val="accent2">
                    <a:lumMod val="60000"/>
                    <a:shade val="94000"/>
                  </a:schemeClr>
                </a:gs>
              </a:gsLst>
              <a:lin ang="16200000" scaled="0"/>
              <a:tileRect/>
            </a:gradFill>
            <a:ln w="952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Summary'!$H$13:$H$14</c:f>
              <c:strCache>
                <c:ptCount val="1"/>
                <c:pt idx="0">
                  <c:v>Blender</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Summary'!$H$15:$H$22</c:f>
              <c:numCache>
                <c:formatCode>General</c:formatCode>
                <c:ptCount val="7"/>
                <c:pt idx="0">
                  <c:v>5</c:v>
                </c:pt>
                <c:pt idx="1">
                  <c:v>2</c:v>
                </c:pt>
                <c:pt idx="2">
                  <c:v>2</c:v>
                </c:pt>
                <c:pt idx="3">
                  <c:v>2</c:v>
                </c:pt>
                <c:pt idx="4">
                  <c:v>2</c:v>
                </c:pt>
                <c:pt idx="6">
                  <c:v>1</c:v>
                </c:pt>
              </c:numCache>
            </c:numRef>
          </c:val>
          <c:extLst>
            <c:ext xmlns:c16="http://schemas.microsoft.com/office/drawing/2014/chart" uri="{C3380CC4-5D6E-409C-BE32-E72D297353CC}">
              <c16:uniqueId val="{00000000-201A-46BA-9317-A3A5338A2069}"/>
            </c:ext>
          </c:extLst>
        </c:ser>
        <c:ser>
          <c:idx val="1"/>
          <c:order val="1"/>
          <c:tx>
            <c:strRef>
              <c:f>'Pivot Summary'!$I$13:$I$14</c:f>
              <c:strCache>
                <c:ptCount val="1"/>
                <c:pt idx="0">
                  <c:v>Handbag</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Summary'!$I$15:$I$22</c:f>
              <c:numCache>
                <c:formatCode>General</c:formatCode>
                <c:ptCount val="7"/>
                <c:pt idx="0">
                  <c:v>1</c:v>
                </c:pt>
                <c:pt idx="1">
                  <c:v>1</c:v>
                </c:pt>
                <c:pt idx="2">
                  <c:v>3</c:v>
                </c:pt>
                <c:pt idx="3">
                  <c:v>5</c:v>
                </c:pt>
                <c:pt idx="4">
                  <c:v>2</c:v>
                </c:pt>
                <c:pt idx="5">
                  <c:v>1</c:v>
                </c:pt>
                <c:pt idx="6">
                  <c:v>1</c:v>
                </c:pt>
              </c:numCache>
            </c:numRef>
          </c:val>
          <c:extLst>
            <c:ext xmlns:c16="http://schemas.microsoft.com/office/drawing/2014/chart" uri="{C3380CC4-5D6E-409C-BE32-E72D297353CC}">
              <c16:uniqueId val="{00000008-201A-46BA-9317-A3A5338A2069}"/>
            </c:ext>
          </c:extLst>
        </c:ser>
        <c:ser>
          <c:idx val="2"/>
          <c:order val="2"/>
          <c:tx>
            <c:strRef>
              <c:f>'Pivot Summary'!$J$13:$J$14</c:f>
              <c:strCache>
                <c:ptCount val="1"/>
                <c:pt idx="0">
                  <c:v>Headphones</c:v>
                </c:pt>
              </c:strCache>
            </c:strRef>
          </c:tx>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Summary'!$J$15:$J$22</c:f>
              <c:numCache>
                <c:formatCode>General</c:formatCode>
                <c:ptCount val="7"/>
                <c:pt idx="0">
                  <c:v>3</c:v>
                </c:pt>
                <c:pt idx="2">
                  <c:v>1</c:v>
                </c:pt>
                <c:pt idx="3">
                  <c:v>1</c:v>
                </c:pt>
                <c:pt idx="4">
                  <c:v>5</c:v>
                </c:pt>
                <c:pt idx="6">
                  <c:v>1</c:v>
                </c:pt>
              </c:numCache>
            </c:numRef>
          </c:val>
          <c:extLst>
            <c:ext xmlns:c16="http://schemas.microsoft.com/office/drawing/2014/chart" uri="{C3380CC4-5D6E-409C-BE32-E72D297353CC}">
              <c16:uniqueId val="{00000009-201A-46BA-9317-A3A5338A2069}"/>
            </c:ext>
          </c:extLst>
        </c:ser>
        <c:ser>
          <c:idx val="3"/>
          <c:order val="3"/>
          <c:tx>
            <c:strRef>
              <c:f>'Pivot Summary'!$K$13:$K$14</c:f>
              <c:strCache>
                <c:ptCount val="1"/>
                <c:pt idx="0">
                  <c:v>Laptop</c:v>
                </c:pt>
              </c:strCache>
            </c:strRef>
          </c:tx>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Summary'!$K$15:$K$22</c:f>
              <c:numCache>
                <c:formatCode>General</c:formatCode>
                <c:ptCount val="7"/>
                <c:pt idx="0">
                  <c:v>1</c:v>
                </c:pt>
                <c:pt idx="2">
                  <c:v>2</c:v>
                </c:pt>
                <c:pt idx="4">
                  <c:v>3</c:v>
                </c:pt>
                <c:pt idx="5">
                  <c:v>2</c:v>
                </c:pt>
                <c:pt idx="6">
                  <c:v>8</c:v>
                </c:pt>
              </c:numCache>
            </c:numRef>
          </c:val>
          <c:extLst>
            <c:ext xmlns:c16="http://schemas.microsoft.com/office/drawing/2014/chart" uri="{C3380CC4-5D6E-409C-BE32-E72D297353CC}">
              <c16:uniqueId val="{0000000A-201A-46BA-9317-A3A5338A2069}"/>
            </c:ext>
          </c:extLst>
        </c:ser>
        <c:ser>
          <c:idx val="4"/>
          <c:order val="4"/>
          <c:tx>
            <c:strRef>
              <c:f>'Pivot Summary'!$L$13:$L$14</c:f>
              <c:strCache>
                <c:ptCount val="1"/>
                <c:pt idx="0">
                  <c:v>Smartphone</c:v>
                </c:pt>
              </c:strCache>
            </c:strRef>
          </c:tx>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Summary'!$L$15:$L$22</c:f>
              <c:numCache>
                <c:formatCode>General</c:formatCode>
                <c:ptCount val="7"/>
                <c:pt idx="1">
                  <c:v>4</c:v>
                </c:pt>
                <c:pt idx="2">
                  <c:v>3</c:v>
                </c:pt>
                <c:pt idx="3">
                  <c:v>3</c:v>
                </c:pt>
                <c:pt idx="5">
                  <c:v>2</c:v>
                </c:pt>
                <c:pt idx="6">
                  <c:v>3</c:v>
                </c:pt>
              </c:numCache>
            </c:numRef>
          </c:val>
          <c:extLst>
            <c:ext xmlns:c16="http://schemas.microsoft.com/office/drawing/2014/chart" uri="{C3380CC4-5D6E-409C-BE32-E72D297353CC}">
              <c16:uniqueId val="{0000000B-201A-46BA-9317-A3A5338A2069}"/>
            </c:ext>
          </c:extLst>
        </c:ser>
        <c:ser>
          <c:idx val="5"/>
          <c:order val="5"/>
          <c:tx>
            <c:strRef>
              <c:f>'Pivot Summary'!$M$13:$M$14</c:f>
              <c:strCache>
                <c:ptCount val="1"/>
                <c:pt idx="0">
                  <c:v>Sneakers</c:v>
                </c:pt>
              </c:strCache>
            </c:strRef>
          </c:tx>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Summary'!$M$15:$M$22</c:f>
              <c:numCache>
                <c:formatCode>General</c:formatCode>
                <c:ptCount val="7"/>
                <c:pt idx="0">
                  <c:v>2</c:v>
                </c:pt>
                <c:pt idx="2">
                  <c:v>1</c:v>
                </c:pt>
                <c:pt idx="3">
                  <c:v>2</c:v>
                </c:pt>
                <c:pt idx="4">
                  <c:v>1</c:v>
                </c:pt>
                <c:pt idx="5">
                  <c:v>1</c:v>
                </c:pt>
              </c:numCache>
            </c:numRef>
          </c:val>
          <c:extLst>
            <c:ext xmlns:c16="http://schemas.microsoft.com/office/drawing/2014/chart" uri="{C3380CC4-5D6E-409C-BE32-E72D297353CC}">
              <c16:uniqueId val="{0000000C-201A-46BA-9317-A3A5338A2069}"/>
            </c:ext>
          </c:extLst>
        </c:ser>
        <c:ser>
          <c:idx val="6"/>
          <c:order val="6"/>
          <c:tx>
            <c:strRef>
              <c:f>'Pivot Summary'!$N$13:$N$14</c:f>
              <c:strCache>
                <c:ptCount val="1"/>
                <c:pt idx="0">
                  <c:v>Television</c:v>
                </c:pt>
              </c:strCache>
            </c:strRef>
          </c:tx>
          <c:spPr>
            <a:gradFill>
              <a:gsLst>
                <a:gs pos="0">
                  <a:schemeClr val="accent1">
                    <a:lumMod val="60000"/>
                    <a:shade val="51000"/>
                  </a:schemeClr>
                </a:gs>
                <a:gs pos="80000">
                  <a:schemeClr val="accent1">
                    <a:lumMod val="60000"/>
                    <a:shade val="93000"/>
                  </a:schemeClr>
                </a:gs>
                <a:gs pos="100000">
                  <a:schemeClr val="accent1">
                    <a:lumMod val="60000"/>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Summary'!$N$15:$N$22</c:f>
              <c:numCache>
                <c:formatCode>General</c:formatCode>
                <c:ptCount val="7"/>
                <c:pt idx="0">
                  <c:v>2</c:v>
                </c:pt>
                <c:pt idx="2">
                  <c:v>1</c:v>
                </c:pt>
                <c:pt idx="3">
                  <c:v>2</c:v>
                </c:pt>
                <c:pt idx="4">
                  <c:v>4</c:v>
                </c:pt>
                <c:pt idx="6">
                  <c:v>2</c:v>
                </c:pt>
              </c:numCache>
            </c:numRef>
          </c:val>
          <c:extLst>
            <c:ext xmlns:c16="http://schemas.microsoft.com/office/drawing/2014/chart" uri="{C3380CC4-5D6E-409C-BE32-E72D297353CC}">
              <c16:uniqueId val="{0000000D-201A-46BA-9317-A3A5338A2069}"/>
            </c:ext>
          </c:extLst>
        </c:ser>
        <c:ser>
          <c:idx val="7"/>
          <c:order val="7"/>
          <c:tx>
            <c:strRef>
              <c:f>'Pivot Summary'!$O$13:$O$14</c:f>
              <c:strCache>
                <c:ptCount val="1"/>
                <c:pt idx="0">
                  <c:v>Wrist Watch</c:v>
                </c:pt>
              </c:strCache>
            </c:strRef>
          </c:tx>
          <c:spPr>
            <a:gradFill>
              <a:gsLst>
                <a:gs pos="0">
                  <a:schemeClr val="accent2">
                    <a:lumMod val="60000"/>
                    <a:shade val="51000"/>
                  </a:schemeClr>
                </a:gs>
                <a:gs pos="80000">
                  <a:schemeClr val="accent2">
                    <a:lumMod val="60000"/>
                    <a:shade val="93000"/>
                  </a:schemeClr>
                </a:gs>
                <a:gs pos="100000">
                  <a:schemeClr val="accent2">
                    <a:lumMod val="60000"/>
                    <a:shade val="94000"/>
                  </a:schemeClr>
                </a:gs>
              </a:gsLst>
              <a:lin ang="16200000" scaled="0"/>
              <a:tileRect/>
            </a:gradFill>
            <a:ln>
              <a:noFill/>
            </a:ln>
            <a:effectLst/>
          </c:spPr>
          <c:invertIfNegative val="0"/>
          <c:cat>
            <c:strRef>
              <c:f>'Pivot Summary'!$G$15:$G$22</c:f>
              <c:strCache>
                <c:ptCount val="7"/>
                <c:pt idx="0">
                  <c:v>Abuja</c:v>
                </c:pt>
                <c:pt idx="1">
                  <c:v>Enugu</c:v>
                </c:pt>
                <c:pt idx="2">
                  <c:v>Ibadan</c:v>
                </c:pt>
                <c:pt idx="3">
                  <c:v>Kano</c:v>
                </c:pt>
                <c:pt idx="4">
                  <c:v>Lagos</c:v>
                </c:pt>
                <c:pt idx="5">
                  <c:v>Missing</c:v>
                </c:pt>
                <c:pt idx="6">
                  <c:v>Port Harcourt</c:v>
                </c:pt>
              </c:strCache>
            </c:strRef>
          </c:cat>
          <c:val>
            <c:numRef>
              <c:f>'Pivot Summary'!$O$15:$O$22</c:f>
              <c:numCache>
                <c:formatCode>General</c:formatCode>
                <c:ptCount val="7"/>
                <c:pt idx="0">
                  <c:v>4</c:v>
                </c:pt>
                <c:pt idx="1">
                  <c:v>3</c:v>
                </c:pt>
                <c:pt idx="2">
                  <c:v>1</c:v>
                </c:pt>
                <c:pt idx="3">
                  <c:v>6</c:v>
                </c:pt>
                <c:pt idx="4">
                  <c:v>1</c:v>
                </c:pt>
                <c:pt idx="6">
                  <c:v>2</c:v>
                </c:pt>
              </c:numCache>
            </c:numRef>
          </c:val>
          <c:extLst>
            <c:ext xmlns:c16="http://schemas.microsoft.com/office/drawing/2014/chart" uri="{C3380CC4-5D6E-409C-BE32-E72D297353CC}">
              <c16:uniqueId val="{0000000E-201A-46BA-9317-A3A5338A2069}"/>
            </c:ext>
          </c:extLst>
        </c:ser>
        <c:dLbls>
          <c:showLegendKey val="0"/>
          <c:showVal val="0"/>
          <c:showCatName val="0"/>
          <c:showSerName val="0"/>
          <c:showPercent val="0"/>
          <c:showBubbleSize val="0"/>
        </c:dLbls>
        <c:gapWidth val="150"/>
        <c:overlap val="100"/>
        <c:axId val="1799007616"/>
        <c:axId val="1336072832"/>
      </c:barChart>
      <c:catAx>
        <c:axId val="1799007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072832"/>
        <c:crosses val="autoZero"/>
        <c:auto val="1"/>
        <c:lblAlgn val="ctr"/>
        <c:lblOffset val="100"/>
        <c:noMultiLvlLbl val="0"/>
      </c:catAx>
      <c:valAx>
        <c:axId val="1336072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No. of Products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0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25400</xdr:colOff>
      <xdr:row>2</xdr:row>
      <xdr:rowOff>6351</xdr:rowOff>
    </xdr:from>
    <xdr:to>
      <xdr:col>4</xdr:col>
      <xdr:colOff>571500</xdr:colOff>
      <xdr:row>11</xdr:row>
      <xdr:rowOff>25401</xdr:rowOff>
    </xdr:to>
    <mc:AlternateContent xmlns:mc="http://schemas.openxmlformats.org/markup-compatibility/2006">
      <mc:Choice xmlns:a14="http://schemas.microsoft.com/office/drawing/2010/main" Requires="a14">
        <xdr:graphicFrame macro="">
          <xdr:nvGraphicFramePr>
            <xdr:cNvPr id="9" name="Location">
              <a:extLst>
                <a:ext uri="{FF2B5EF4-FFF2-40B4-BE49-F238E27FC236}">
                  <a16:creationId xmlns:a16="http://schemas.microsoft.com/office/drawing/2014/main" id="{CD62016E-4CA1-96C8-B8A8-6F0EA098A13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898650" y="374651"/>
              <a:ext cx="1701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xdr:colOff>
      <xdr:row>2</xdr:row>
      <xdr:rowOff>6351</xdr:rowOff>
    </xdr:from>
    <xdr:to>
      <xdr:col>11</xdr:col>
      <xdr:colOff>50800</xdr:colOff>
      <xdr:row>9</xdr:row>
      <xdr:rowOff>177801</xdr:rowOff>
    </xdr:to>
    <mc:AlternateContent xmlns:mc="http://schemas.openxmlformats.org/markup-compatibility/2006">
      <mc:Choice xmlns:a14="http://schemas.microsoft.com/office/drawing/2010/main" Requires="a14">
        <xdr:graphicFrame macro="">
          <xdr:nvGraphicFramePr>
            <xdr:cNvPr id="10" name="Location 1">
              <a:extLst>
                <a:ext uri="{FF2B5EF4-FFF2-40B4-BE49-F238E27FC236}">
                  <a16:creationId xmlns:a16="http://schemas.microsoft.com/office/drawing/2014/main" id="{C803D6FE-C933-7806-EDDE-1EACD12D270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6604000" y="374651"/>
              <a:ext cx="18288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6350</xdr:rowOff>
    </xdr:from>
    <xdr:to>
      <xdr:col>7</xdr:col>
      <xdr:colOff>304800</xdr:colOff>
      <xdr:row>21</xdr:row>
      <xdr:rowOff>177800</xdr:rowOff>
    </xdr:to>
    <xdr:graphicFrame macro="">
      <xdr:nvGraphicFramePr>
        <xdr:cNvPr id="2" name="Chart 1">
          <a:extLst>
            <a:ext uri="{FF2B5EF4-FFF2-40B4-BE49-F238E27FC236}">
              <a16:creationId xmlns:a16="http://schemas.microsoft.com/office/drawing/2014/main" id="{F82B265F-A3E8-98AE-0958-2B9046F46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7</xdr:row>
      <xdr:rowOff>6350</xdr:rowOff>
    </xdr:from>
    <xdr:to>
      <xdr:col>14</xdr:col>
      <xdr:colOff>603250</xdr:colOff>
      <xdr:row>21</xdr:row>
      <xdr:rowOff>171450</xdr:rowOff>
    </xdr:to>
    <xdr:graphicFrame macro="">
      <xdr:nvGraphicFramePr>
        <xdr:cNvPr id="3" name="Chart 2">
          <a:extLst>
            <a:ext uri="{FF2B5EF4-FFF2-40B4-BE49-F238E27FC236}">
              <a16:creationId xmlns:a16="http://schemas.microsoft.com/office/drawing/2014/main" id="{45E68AE6-013D-AF08-C597-CF6F1B683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177800</xdr:rowOff>
    </xdr:from>
    <xdr:to>
      <xdr:col>7</xdr:col>
      <xdr:colOff>304800</xdr:colOff>
      <xdr:row>37</xdr:row>
      <xdr:rowOff>158750</xdr:rowOff>
    </xdr:to>
    <xdr:graphicFrame macro="">
      <xdr:nvGraphicFramePr>
        <xdr:cNvPr id="4" name="Chart 4">
          <a:extLst>
            <a:ext uri="{FF2B5EF4-FFF2-40B4-BE49-F238E27FC236}">
              <a16:creationId xmlns:a16="http://schemas.microsoft.com/office/drawing/2014/main" id="{A7FC6212-CD09-39A8-E90C-8E7510728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539750</xdr:colOff>
      <xdr:row>22</xdr:row>
      <xdr:rowOff>177800</xdr:rowOff>
    </xdr:from>
    <xdr:to>
      <xdr:col>15</xdr:col>
      <xdr:colOff>6350</xdr:colOff>
      <xdr:row>37</xdr:row>
      <xdr:rowOff>158750</xdr:rowOff>
    </xdr:to>
    <xdr:graphicFrame macro="">
      <xdr:nvGraphicFramePr>
        <xdr:cNvPr id="5" name="Chart 6">
          <a:extLst>
            <a:ext uri="{FF2B5EF4-FFF2-40B4-BE49-F238E27FC236}">
              <a16:creationId xmlns:a16="http://schemas.microsoft.com/office/drawing/2014/main" id="{2E971AA4-64BD-EAA9-EBDD-CAF84DEBE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53125763889" createdVersion="8" refreshedVersion="8" minRefreshableVersion="3" recordCount="106" xr:uid="{79DBFD29-6132-418D-BBF5-BB9907CDB9FA}">
  <cacheSource type="worksheet">
    <worksheetSource ref="A1:XFD1048576" sheet="Cleaned Data"/>
  </cacheSource>
  <cacheFields count="16384">
    <cacheField name="Name" numFmtId="0">
      <sharedItems containsBlank="1"/>
    </cacheField>
    <cacheField name="Email" numFmtId="0">
      <sharedItems containsBlank="1"/>
    </cacheField>
    <cacheField name="Phone" numFmtId="0">
      <sharedItems containsBlank="1"/>
    </cacheField>
    <cacheField name="Location" numFmtId="0">
      <sharedItems containsBlank="1" count="8">
        <s v="Ibadan"/>
        <s v="Port Harcourt"/>
        <s v="Kano"/>
        <s v="Enugu"/>
        <s v="Abuja"/>
        <s v="Lagos"/>
        <s v="Missing"/>
        <m/>
      </sharedItems>
    </cacheField>
    <cacheField name="Date of Purchase" numFmtId="0">
      <sharedItems containsNonDate="0" containsDate="1" containsString="0" containsBlank="1" minDate="2024-01-01T00:00:00" maxDate="2024-06-27T00:00:00"/>
    </cacheField>
    <cacheField name="Product" numFmtId="0">
      <sharedItems containsBlank="1"/>
    </cacheField>
    <cacheField name="Quantity" numFmtId="0">
      <sharedItems containsString="0" containsBlank="1" containsNumber="1" containsInteger="1" minValue="1" maxValue="9"/>
    </cacheField>
    <cacheField name="Price" numFmtId="0">
      <sharedItems containsString="0" containsBlank="1" containsNumber="1" containsInteger="1" minValue="5000" maxValue="350000"/>
    </cacheField>
    <cacheField name="Amount" numFmtId="0">
      <sharedItems containsString="0" containsBlank="1" containsNumber="1" containsInteger="1" minValue="5000" maxValue="2800000"/>
    </cacheField>
    <cacheField name="Field10" caption="Field10" numFmtId="0">
      <sharedItems containsNonDate="0" containsString="0" containsBlank="1"/>
    </cacheField>
    <cacheField name="Field11" caption="Field11" numFmtId="0">
      <sharedItems containsNonDate="0" containsString="0" containsBlank="1"/>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531482060185" createdVersion="8" refreshedVersion="8" minRefreshableVersion="3" recordCount="105" xr:uid="{6BBCFB09-5572-40C2-84EE-AAF1185B55BC}">
  <cacheSource type="worksheet">
    <worksheetSource ref="A1:I106" sheet="Cleaned Data"/>
  </cacheSource>
  <cacheFields count="11">
    <cacheField name="Name" numFmtId="0">
      <sharedItems/>
    </cacheField>
    <cacheField name="Email" numFmtId="0">
      <sharedItems/>
    </cacheField>
    <cacheField name="Phone" numFmtId="0">
      <sharedItems/>
    </cacheField>
    <cacheField name="Location" numFmtId="0">
      <sharedItems count="7">
        <s v="Ibadan"/>
        <s v="Port Harcourt"/>
        <s v="Kano"/>
        <s v="Enugu"/>
        <s v="Abuja"/>
        <s v="Lagos"/>
        <s v="Missing"/>
      </sharedItems>
    </cacheField>
    <cacheField name="Date of Purchase" numFmtId="164">
      <sharedItems containsSemiMixedTypes="0" containsNonDate="0" containsDate="1" containsString="0" minDate="2024-01-01T00:00:00" maxDate="2024-06-27T00:00:00" count="67">
        <d v="2024-01-19T00:00:00"/>
        <d v="2024-05-10T00:00:00"/>
        <d v="2024-02-17T00:00:00"/>
        <d v="2024-03-27T00:00:00"/>
        <d v="2024-02-28T00:00:00"/>
        <d v="2024-06-02T00:00:00"/>
        <d v="2024-02-07T00:00:00"/>
        <d v="2024-05-13T00:00:00"/>
        <d v="2024-01-04T00:00:00"/>
        <d v="2024-02-12T00:00:00"/>
        <d v="2024-04-28T00:00:00"/>
        <d v="2024-06-17T00:00:00"/>
        <d v="2024-05-19T00:00:00"/>
        <d v="2024-06-26T00:00:00"/>
        <d v="2024-05-09T00:00:00"/>
        <d v="2024-01-10T00:00:00"/>
        <d v="2024-06-09T00:00:00"/>
        <d v="2024-01-14T00:00:00"/>
        <d v="2024-05-11T00:00:00"/>
        <d v="2024-05-22T00:00:00"/>
        <d v="2024-05-28T00:00:00"/>
        <d v="2024-01-18T00:00:00"/>
        <d v="2024-05-24T00:00:00"/>
        <d v="2024-01-08T00:00:00"/>
        <d v="2024-05-26T00:00:00"/>
        <d v="2024-06-14T00:00:00"/>
        <d v="2024-06-15T00:00:00"/>
        <d v="2024-05-15T00:00:00"/>
        <d v="2024-01-15T00:00:00"/>
        <d v="2024-01-26T00:00:00"/>
        <d v="2024-06-25T00:00:00"/>
        <d v="2024-06-08T00:00:00"/>
        <d v="2024-05-05T00:00:00"/>
        <d v="2024-04-16T00:00:00"/>
        <d v="2024-01-12T00:00:00"/>
        <d v="2024-04-17T00:00:00"/>
        <d v="2024-02-21T00:00:00"/>
        <d v="2024-01-24T00:00:00"/>
        <d v="2024-06-21T00:00:00"/>
        <d v="2024-02-27T00:00:00"/>
        <d v="2024-03-16T00:00:00"/>
        <d v="2024-03-19T00:00:00"/>
        <d v="2024-01-17T00:00:00"/>
        <d v="2024-02-01T00:00:00"/>
        <d v="2024-04-26T00:00:00"/>
        <d v="2024-01-02T00:00:00"/>
        <d v="2024-02-26T00:00:00"/>
        <d v="2024-04-02T00:00:00"/>
        <d v="2024-05-23T00:00:00"/>
        <d v="2024-05-27T00:00:00"/>
        <d v="2024-04-08T00:00:00"/>
        <d v="2024-02-20T00:00:00"/>
        <d v="2024-02-02T00:00:00"/>
        <d v="2024-04-13T00:00:00"/>
        <d v="2024-05-21T00:00:00"/>
        <d v="2024-03-23T00:00:00"/>
        <d v="2024-03-07T00:00:00"/>
        <d v="2024-03-28T00:00:00"/>
        <d v="2024-04-12T00:00:00"/>
        <d v="2024-02-10T00:00:00"/>
        <d v="2024-06-20T00:00:00"/>
        <d v="2024-01-01T00:00:00"/>
        <d v="2024-05-16T00:00:00"/>
        <d v="2024-03-22T00:00:00"/>
        <d v="2024-05-01T00:00:00"/>
        <d v="2024-06-03T00:00:00"/>
        <d v="2024-04-24T00:00:00"/>
      </sharedItems>
      <fieldGroup par="10"/>
    </cacheField>
    <cacheField name="Product" numFmtId="0">
      <sharedItems count="8">
        <s v="Wrist Watch"/>
        <s v="Smartphone"/>
        <s v="Handbag"/>
        <s v="Blender"/>
        <s v="Headphones"/>
        <s v="Television"/>
        <s v="Sneakers"/>
        <s v="Laptop"/>
      </sharedItems>
    </cacheField>
    <cacheField name="Quantity" numFmtId="0">
      <sharedItems containsSemiMixedTypes="0" containsString="0" containsNumber="1" containsInteger="1" minValue="1" maxValue="9"/>
    </cacheField>
    <cacheField name="Price" numFmtId="0">
      <sharedItems containsSemiMixedTypes="0" containsString="0" containsNumber="1" containsInteger="1" minValue="5000" maxValue="350000"/>
    </cacheField>
    <cacheField name="Amount" numFmtId="0">
      <sharedItems containsSemiMixedTypes="0" containsString="0" containsNumber="1" containsInteger="1" minValue="5000" maxValue="2800000" count="35">
        <n v="140000"/>
        <n v="1250000"/>
        <n v="15000"/>
        <n v="25000"/>
        <n v="750000"/>
        <n v="50000"/>
        <n v="250000"/>
        <n v="10000"/>
        <n v="20000"/>
        <n v="35000"/>
        <n v="900000"/>
        <n v="120000"/>
        <n v="300000"/>
        <n v="210000"/>
        <n v="280000"/>
        <n v="160000"/>
        <n v="40000"/>
        <n v="1050000"/>
        <n v="350000"/>
        <n v="175000"/>
        <n v="1400000"/>
        <n v="1200000"/>
        <n v="700000"/>
        <n v="70000"/>
        <n v="500000"/>
        <n v="200000"/>
        <n v="1000000"/>
        <n v="1500000"/>
        <n v="1750000"/>
        <n v="630000"/>
        <n v="2800000"/>
        <n v="600000"/>
        <n v="5000"/>
        <n v="105000"/>
        <n v="30000"/>
      </sharedItems>
    </cacheField>
    <cacheField name="Days (Date of Purchase)" numFmtId="0" databaseField="0">
      <fieldGroup base="4">
        <rangePr groupBy="days" startDate="2024-01-01T00:00:00" endDate="2024-06-27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7/2024"/>
        </groupItems>
      </fieldGroup>
    </cacheField>
    <cacheField name="Months (Date of Purchase)" numFmtId="0" databaseField="0">
      <fieldGroup base="4">
        <rangePr groupBy="months" startDate="2024-01-01T00:00:00" endDate="2024-06-27T00:00:00"/>
        <groupItems count="14">
          <s v="&lt;1/1/2024"/>
          <s v="Jan"/>
          <s v="Feb"/>
          <s v="Mar"/>
          <s v="Apr"/>
          <s v="May"/>
          <s v="Jun"/>
          <s v="Jul"/>
          <s v="Aug"/>
          <s v="Sep"/>
          <s v="Oct"/>
          <s v="Nov"/>
          <s v="Dec"/>
          <s v="&gt;6/27/2024"/>
        </groupItems>
      </fieldGroup>
    </cacheField>
  </cacheFields>
  <extLst>
    <ext xmlns:x14="http://schemas.microsoft.com/office/spreadsheetml/2009/9/main" uri="{725AE2AE-9491-48be-B2B4-4EB974FC3084}">
      <x14:pivotCacheDefinition pivotCacheId="1265709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
  <r>
    <s v="Emeka Sanni"/>
    <s v="emeka.sanni41@outlook.com"/>
    <s v="08452984153"/>
    <x v="0"/>
    <d v="2024-01-19T00:00:00"/>
    <s v="Wrist Watch"/>
    <n v="4"/>
    <n v="35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lessing Adekunle"/>
    <s v="blessing.adekunle@yahoo.com"/>
    <s v="0446-049-5660"/>
    <x v="1"/>
    <d v="2024-05-10T00:00:00"/>
    <s v="Smartphone"/>
    <n v="5"/>
    <n v="250000"/>
    <n v="1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Musa Chukwu"/>
    <s v="musa.chukwu@yahoo.com"/>
    <s v="04634786122"/>
    <x v="2"/>
    <d v="2024-02-17T00:00:00"/>
    <s v="Handbag"/>
    <n v="3"/>
    <n v="5000"/>
    <n v="1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ukwudi Okoro"/>
    <s v="chukwudi.okoro@gmail.com"/>
    <s v="Missing"/>
    <x v="2"/>
    <d v="2024-03-27T00:00:00"/>
    <s v="Handbag"/>
    <n v="5"/>
    <n v="5000"/>
    <n v="2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Ngozi Ibrahim"/>
    <s v="ngozi.ibrahim@yahoo.com"/>
    <s v="0889-148-6546"/>
    <x v="2"/>
    <d v="2024-02-28T00:00:00"/>
    <s v="Smartphone"/>
    <n v="3"/>
    <n v="250000"/>
    <n v="7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Wale Okoro"/>
    <s v="wale.okoro@yahoo.com"/>
    <s v="Missing"/>
    <x v="3"/>
    <d v="2024-06-02T00:00:00"/>
    <s v="Blender"/>
    <n v="5"/>
    <n v="10000"/>
    <n v="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daeze Abubakar"/>
    <s v="adaeze.abubakar@outlook.com"/>
    <s v="0053-446-8826"/>
    <x v="3"/>
    <d v="2024-02-07T00:00:00"/>
    <s v="Smartphone"/>
    <n v="1"/>
    <n v="250000"/>
    <n v="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nedu Balogun"/>
    <s v="Missing"/>
    <s v="06199582254"/>
    <x v="4"/>
    <d v="2024-05-13T00:00:00"/>
    <s v="Blender"/>
    <n v="1"/>
    <n v="10000"/>
    <n v="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isha Balogun"/>
    <s v="aisha.balogun@outlook.com"/>
    <s v="0051-697-8464"/>
    <x v="0"/>
    <d v="2024-01-04T00:00:00"/>
    <s v="Smartphone"/>
    <n v="1"/>
    <n v="250000"/>
    <n v="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Ibrahim Abubakar"/>
    <s v="ibrahim.abubakar@gmail.com"/>
    <s v="09139099603"/>
    <x v="4"/>
    <d v="2024-05-13T00:00:00"/>
    <s v="Headphones"/>
    <n v="2"/>
    <n v="70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Kunle Obi"/>
    <s v="kunle.obi@gmail.com"/>
    <s v="Missing"/>
    <x v="5"/>
    <d v="2024-02-12T00:00:00"/>
    <s v="Blender"/>
    <n v="2"/>
    <n v="10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isi Sanni"/>
    <s v="bisi.sanni@yahoo.com"/>
    <s v="Missing"/>
    <x v="0"/>
    <d v="2024-04-28T00:00:00"/>
    <s v="Blender"/>
    <n v="2"/>
    <n v="10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meka Okafor"/>
    <s v="emeka.okafor@gmail.com"/>
    <s v="0776-467-2720"/>
    <x v="3"/>
    <d v="2024-06-17T00:00:00"/>
    <s v="Wrist Watch"/>
    <n v="1"/>
    <n v="35000"/>
    <n v="3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bdullahi Chukwu"/>
    <s v="abdullahi.chukwu@yahoo.com"/>
    <s v="0352-056-1748"/>
    <x v="4"/>
    <d v="2024-05-19T00:00:00"/>
    <s v="Wrist Watch"/>
    <n v="1"/>
    <n v="35000"/>
    <n v="3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Toyin Nwosu"/>
    <s v="toyin.nwosu@gmail.com"/>
    <s v="0718-818-1741"/>
    <x v="4"/>
    <d v="2024-06-26T00:00:00"/>
    <s v="Television"/>
    <n v="3"/>
    <n v="300000"/>
    <n v="9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Halima Adeyemi"/>
    <s v="halima.adeyemi@outlook.com"/>
    <s v="Missing"/>
    <x v="0"/>
    <d v="2024-05-09T00:00:00"/>
    <s v="Sneakers"/>
    <n v="3"/>
    <n v="40000"/>
    <n v="1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ukola Umeh"/>
    <s v="bukola.umeh@yahoo.com"/>
    <s v="07628331258"/>
    <x v="4"/>
    <d v="2024-01-10T00:00:00"/>
    <s v="Television"/>
    <n v="1"/>
    <n v="300000"/>
    <n v="3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dinma Balogun"/>
    <s v="Missing"/>
    <s v="0865-797-5432"/>
    <x v="4"/>
    <d v="2024-06-09T00:00:00"/>
    <s v="Headphones"/>
    <n v="3"/>
    <n v="70000"/>
    <n v="2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dinma Okafor"/>
    <s v="chidinma.okafor@outlook.com"/>
    <s v="03100251678"/>
    <x v="5"/>
    <d v="2024-01-14T00:00:00"/>
    <s v="Headphones"/>
    <n v="3"/>
    <n v="70000"/>
    <n v="2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ani Okafor"/>
    <s v="sani.okafor@gmail.com"/>
    <s v="09022279180"/>
    <x v="2"/>
    <d v="2024-05-11T00:00:00"/>
    <s v="Smartphone"/>
    <n v="1"/>
    <n v="250000"/>
    <n v="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ani Abubakar"/>
    <s v="sani.abubakar78@outlook.com"/>
    <s v="0620-191-3274"/>
    <x v="4"/>
    <d v="2024-05-22T00:00:00"/>
    <s v="Handbag"/>
    <n v="7"/>
    <n v="5000"/>
    <n v="3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Precious Nwosu"/>
    <s v="precious.nwosu@gmail.com"/>
    <s v="07010737504"/>
    <x v="5"/>
    <d v="2024-05-28T00:00:00"/>
    <s v="Headphones"/>
    <n v="4"/>
    <n v="70000"/>
    <n v="28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Halima Nwachukwu"/>
    <s v="halima.nwachukwu@yahoo.com"/>
    <s v="0777-412-1547"/>
    <x v="4"/>
    <d v="2024-01-18T00:00:00"/>
    <s v="Sneakers"/>
    <n v="4"/>
    <n v="40000"/>
    <n v="16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Rukayat Adeyemi"/>
    <s v="rukayat.adeyemi@gmail.com"/>
    <s v="0309-260-0267"/>
    <x v="6"/>
    <d v="2024-05-24T00:00:00"/>
    <s v="Sneakers"/>
    <n v="1"/>
    <n v="40000"/>
    <n v="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isha Umeh"/>
    <s v="aisha.umeh@gmail.com"/>
    <s v="06133310014"/>
    <x v="4"/>
    <d v="2024-01-18T00:00:00"/>
    <s v="Laptop"/>
    <n v="3"/>
    <n v="350000"/>
    <n v="10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binna Nwosu"/>
    <s v="obinna.nwosu@outlook.com"/>
    <s v="02650201462"/>
    <x v="3"/>
    <d v="2024-05-11T00:00:00"/>
    <s v="Blender"/>
    <n v="4"/>
    <n v="10000"/>
    <n v="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Sanni"/>
    <s v="chiamaka.sanni@yahoo.com"/>
    <s v="0738-344-9223"/>
    <x v="2"/>
    <d v="2024-01-08T00:00:00"/>
    <s v="Wrist Watch"/>
    <n v="1"/>
    <n v="35000"/>
    <n v="3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ukwudi Obi"/>
    <s v="chukwudi.obi@outlook.com"/>
    <s v="0075-116-3726"/>
    <x v="1"/>
    <d v="2024-05-26T00:00:00"/>
    <s v="Laptop"/>
    <n v="3"/>
    <n v="350000"/>
    <n v="10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unke Suleiman"/>
    <s v="funke.suleiman@outlook.com"/>
    <s v="09059582785"/>
    <x v="6"/>
    <d v="2024-06-14T00:00:00"/>
    <s v="Laptop"/>
    <n v="1"/>
    <n v="350000"/>
    <n v="3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egun Obi"/>
    <s v="segun.obi@yahoo.com"/>
    <s v="0724-920-8682"/>
    <x v="2"/>
    <d v="2024-06-15T00:00:00"/>
    <s v="Smartphone"/>
    <n v="5"/>
    <n v="250000"/>
    <n v="1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Kelechi Obi"/>
    <s v="kelechi.obi@yahoo.com"/>
    <s v="09873200080"/>
    <x v="4"/>
    <d v="2024-06-15T00:00:00"/>
    <s v="Blender"/>
    <n v="5"/>
    <n v="10000"/>
    <n v="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Ibrahim Sanni"/>
    <s v="ibrahim.sanni@outlook.com"/>
    <s v="0620-579-8682"/>
    <x v="2"/>
    <d v="2024-05-15T00:00:00"/>
    <s v="Wrist Watch"/>
    <n v="4"/>
    <n v="35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Yusuf"/>
    <s v="Missing"/>
    <s v="0332-493-5164"/>
    <x v="2"/>
    <d v="2024-01-15T00:00:00"/>
    <s v="Wrist Watch"/>
    <n v="5"/>
    <n v="35000"/>
    <n v="17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Wale Chukwu"/>
    <s v="wale.chukwu@outlook.com"/>
    <s v="0983-478-8783"/>
    <x v="1"/>
    <d v="2024-01-26T00:00:00"/>
    <s v="Laptop"/>
    <n v="4"/>
    <n v="350000"/>
    <n v="14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unke Obi"/>
    <s v="funke.obi@gmail.com"/>
    <s v="Missing"/>
    <x v="4"/>
    <d v="2024-06-25T00:00:00"/>
    <s v="Wrist Watch"/>
    <n v="4"/>
    <n v="35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bdullahi Yusuf"/>
    <s v="abdullahi.yusuf@gmail.com"/>
    <s v="0616-751-3613"/>
    <x v="5"/>
    <d v="2024-01-15T00:00:00"/>
    <s v="Blender"/>
    <n v="2"/>
    <n v="10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Afolabi"/>
    <s v="chiamaka.afolabi9@yahoo.com"/>
    <s v="0859-952-8907"/>
    <x v="6"/>
    <d v="2024-06-08T00:00:00"/>
    <s v="Handbag"/>
    <n v="3"/>
    <n v="5000"/>
    <n v="1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atima Abubakar"/>
    <s v="fatima.abubakar@yahoo.com"/>
    <s v="03287046557"/>
    <x v="5"/>
    <d v="2024-05-05T00:00:00"/>
    <s v="Television"/>
    <n v="1"/>
    <n v="300000"/>
    <n v="3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Zainab Yusuf"/>
    <s v="zainab.yusuf@gmail.com"/>
    <s v="Missing"/>
    <x v="5"/>
    <d v="2024-04-16T00:00:00"/>
    <s v="Television"/>
    <n v="4"/>
    <n v="300000"/>
    <n v="12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Sanni"/>
    <s v="chiamaka.sanni@yahoo.com"/>
    <s v="03372117815"/>
    <x v="0"/>
    <d v="2024-05-26T00:00:00"/>
    <s v="Smartphone"/>
    <n v="3"/>
    <n v="250000"/>
    <n v="7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egun Ibrahim"/>
    <s v="segun.ibrahim@gmail.com"/>
    <s v="07316723268"/>
    <x v="0"/>
    <d v="2024-01-12T00:00:00"/>
    <s v="Laptop"/>
    <n v="2"/>
    <n v="350000"/>
    <n v="7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Wale Yusuf"/>
    <s v="wale.yusuf@outlook.com"/>
    <s v="0706-360-6071"/>
    <x v="5"/>
    <d v="2024-02-28T00:00:00"/>
    <s v="Headphones"/>
    <n v="1"/>
    <n v="70000"/>
    <n v="7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atima Umeh"/>
    <s v="fatima.umeh@gmail.com"/>
    <s v="0704-718-7463"/>
    <x v="4"/>
    <d v="2024-03-27T00:00:00"/>
    <s v="Wrist Watch"/>
    <n v="5"/>
    <n v="35000"/>
    <n v="17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egun Ibrahim"/>
    <s v="segun.ibrahim@gmail.com"/>
    <s v="0732-904-8449"/>
    <x v="1"/>
    <d v="2024-04-17T00:00:00"/>
    <s v="Wrist Watch"/>
    <n v="4"/>
    <n v="35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Precious Okafor"/>
    <s v="precious.okafor@outlook.com"/>
    <s v="Missing"/>
    <x v="1"/>
    <d v="2024-02-21T00:00:00"/>
    <s v="Laptop"/>
    <n v="3"/>
    <n v="350000"/>
    <n v="10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Ngozi Yusuf"/>
    <s v="ngozi.yusuf@gmail.com"/>
    <s v="0366-712-7684"/>
    <x v="6"/>
    <d v="2024-05-11T00:00:00"/>
    <s v="Smartphone"/>
    <n v="2"/>
    <n v="250000"/>
    <n v="5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maka Bello"/>
    <s v="amaka.bello@gmail.com"/>
    <s v="09575513137"/>
    <x v="4"/>
    <d v="2024-01-24T00:00:00"/>
    <s v="Blender"/>
    <n v="5"/>
    <n v="10000"/>
    <n v="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ani Okafor"/>
    <s v="sani.okafor34@gmail.com"/>
    <s v="0269-060-4431"/>
    <x v="2"/>
    <d v="2024-06-21T00:00:00"/>
    <s v="Wrist Watch"/>
    <n v="5"/>
    <n v="35000"/>
    <n v="17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isha Obi"/>
    <s v="aisha.obi@outlook.com"/>
    <s v="0315-827-9401"/>
    <x v="3"/>
    <d v="2024-02-27T00:00:00"/>
    <s v="Handbag"/>
    <n v="4"/>
    <n v="5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meka Eze"/>
    <s v="emeka.eze@gmail.com"/>
    <s v="01144024264"/>
    <x v="2"/>
    <d v="2024-03-16T00:00:00"/>
    <s v="Sneakers"/>
    <n v="5"/>
    <n v="40000"/>
    <n v="2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meka Bello"/>
    <s v="emeka.bello@yahoo.com"/>
    <s v="0058-649-2083"/>
    <x v="6"/>
    <d v="2024-02-21T00:00:00"/>
    <s v="Smartphone"/>
    <n v="4"/>
    <n v="250000"/>
    <n v="10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Ngozi Bello"/>
    <s v="ngozi.bello@outlook.com"/>
    <s v="0423-468-5356"/>
    <x v="3"/>
    <d v="2024-03-19T00:00:00"/>
    <s v="Wrist Watch"/>
    <n v="4"/>
    <n v="35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nedu Okafor"/>
    <s v="Missing"/>
    <s v="03943699192"/>
    <x v="5"/>
    <d v="2024-01-17T00:00:00"/>
    <s v="Television"/>
    <n v="5"/>
    <n v="300000"/>
    <n v="15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isi Adekunle"/>
    <s v="bisi.adekunle@outlook.com"/>
    <s v="0122-202-9729"/>
    <x v="0"/>
    <d v="2024-02-01T00:00:00"/>
    <s v="Handbag"/>
    <n v="3"/>
    <n v="5000"/>
    <n v="1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Musa Balogun"/>
    <s v="musa.balogun@gmail.com"/>
    <s v="0895-559-7971"/>
    <x v="1"/>
    <d v="2024-01-14T00:00:00"/>
    <s v="Blender"/>
    <n v="2"/>
    <n v="10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Precious Umeh"/>
    <s v="precious.umeh@gmail.com"/>
    <s v="08033401878"/>
    <x v="5"/>
    <d v="2024-04-26T00:00:00"/>
    <s v="Wrist Watch"/>
    <n v="5"/>
    <n v="35000"/>
    <n v="17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Victor Ibrahim"/>
    <s v="victor.ibrahim@yahoo.com"/>
    <s v="05203409305"/>
    <x v="1"/>
    <d v="2024-05-13T00:00:00"/>
    <s v="Smartphone"/>
    <n v="3"/>
    <n v="250000"/>
    <n v="7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Precious Ibrahim"/>
    <s v="precious.ibrahim@yahoo.com"/>
    <s v="0341-213-6224"/>
    <x v="0"/>
    <d v="2024-01-02T00:00:00"/>
    <s v="Smartphone"/>
    <n v="1"/>
    <n v="250000"/>
    <n v="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unke Abubakar"/>
    <s v="funke.abubakar@outlook.com"/>
    <s v="04259472487"/>
    <x v="1"/>
    <d v="2024-02-26T00:00:00"/>
    <s v="Laptop"/>
    <n v="2"/>
    <n v="350000"/>
    <n v="7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nedu Balogun"/>
    <s v="chinedu.balogun@yahoo.com"/>
    <s v="0966-850-2739"/>
    <x v="5"/>
    <d v="2024-04-02T00:00:00"/>
    <s v="Laptop"/>
    <n v="1"/>
    <n v="350000"/>
    <n v="3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Nwosu"/>
    <s v="chiamaka.nwosu@gmail.com"/>
    <s v="05404868443"/>
    <x v="2"/>
    <d v="2024-05-05T00:00:00"/>
    <s v="Headphones"/>
    <n v="4"/>
    <n v="70000"/>
    <n v="28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Yusuf Yusuf"/>
    <s v="yusuf.yusuf@yahoo.com"/>
    <s v="0640-544-0559"/>
    <x v="1"/>
    <d v="2024-05-23T00:00:00"/>
    <s v="Laptop"/>
    <n v="2"/>
    <n v="350000"/>
    <n v="7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daeze Umeh"/>
    <s v="adaeze.umeh@outlook.com"/>
    <s v="01067924708"/>
    <x v="0"/>
    <d v="2024-04-17T00:00:00"/>
    <s v="Headphones"/>
    <n v="3"/>
    <n v="70000"/>
    <n v="2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bdullahi Adekunle"/>
    <s v="abdullahi.adekunle@yahoo.com"/>
    <s v="01760313721"/>
    <x v="5"/>
    <d v="2024-05-27T00:00:00"/>
    <s v="Laptop"/>
    <n v="5"/>
    <n v="350000"/>
    <n v="17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Sani Sanni"/>
    <s v="sani.sanni@yahoo.com"/>
    <s v="01402614014"/>
    <x v="4"/>
    <d v="2024-04-08T00:00:00"/>
    <s v="Sneakers"/>
    <n v="5"/>
    <n v="40000"/>
    <n v="2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daeze Okafor"/>
    <s v="adaeze.okafor@yahoo.com"/>
    <s v="07642656515"/>
    <x v="1"/>
    <d v="2024-02-20T00:00:00"/>
    <s v="Headphones"/>
    <n v="9"/>
    <n v="70000"/>
    <n v="63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Kelechi Adeyemi"/>
    <s v="kelechi.adeyemi@gmail.com"/>
    <s v="00018263304"/>
    <x v="2"/>
    <d v="2024-02-02T00:00:00"/>
    <s v="Blender"/>
    <n v="4"/>
    <n v="10000"/>
    <n v="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Obinna Nwosu"/>
    <s v="obinna.nwosu@yahoo.com"/>
    <s v="07617409319"/>
    <x v="1"/>
    <d v="2024-01-26T00:00:00"/>
    <s v="Laptop"/>
    <n v="8"/>
    <n v="350000"/>
    <n v="28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daeze Eze"/>
    <s v="adaeze.eze77@yahoo.com"/>
    <s v="0651-788-0021"/>
    <x v="1"/>
    <d v="2024-01-08T00:00:00"/>
    <s v="Television"/>
    <n v="2"/>
    <n v="300000"/>
    <n v="6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Yusuf Abubakar"/>
    <s v="yusuf.abubakar@outlook.com"/>
    <s v="03643900847"/>
    <x v="1"/>
    <d v="2024-05-09T00:00:00"/>
    <s v="Wrist Watch"/>
    <n v="2"/>
    <n v="35000"/>
    <n v="7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Ibrahim Nwachukwu"/>
    <s v="ibrahim.nwachukwu@outlook.com"/>
    <s v="03064003761"/>
    <x v="3"/>
    <d v="2024-02-12T00:00:00"/>
    <s v="Wrist Watch"/>
    <n v="2"/>
    <n v="35000"/>
    <n v="7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Yusuf"/>
    <s v="chiamaka.yusuf@outlook.com"/>
    <s v="05545904544"/>
    <x v="2"/>
    <d v="2024-06-25T00:00:00"/>
    <s v="Blender"/>
    <n v="5"/>
    <n v="10000"/>
    <n v="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Uche Okonkwo"/>
    <s v="uche.okonkwo@gmail.com"/>
    <s v="0948-219-9351"/>
    <x v="5"/>
    <d v="2024-05-19T00:00:00"/>
    <s v="Handbag"/>
    <n v="4"/>
    <n v="5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Zainab Adeyemi"/>
    <s v="zainab.adeyemi@yahoo.com"/>
    <s v="05759183623"/>
    <x v="3"/>
    <d v="2024-02-28T00:00:00"/>
    <s v="Smartphone"/>
    <n v="5"/>
    <n v="250000"/>
    <n v="1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emi Adeyemi"/>
    <s v="femi.adeyemi@gmail.com"/>
    <s v="01815908301"/>
    <x v="5"/>
    <d v="2024-02-26T00:00:00"/>
    <s v="Sneakers"/>
    <n v="3"/>
    <n v="40000"/>
    <n v="1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Zainab Obi"/>
    <s v="zainab.obi@gmail.com"/>
    <s v="07074137484"/>
    <x v="0"/>
    <d v="2024-02-07T00:00:00"/>
    <s v="Television"/>
    <n v="3"/>
    <n v="300000"/>
    <n v="9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Nkechi Ibrahim"/>
    <s v="nkechi.ibrahim@gmail.com"/>
    <s v="05656304813"/>
    <x v="4"/>
    <d v="2024-06-15T00:00:00"/>
    <s v="Wrist Watch"/>
    <n v="2"/>
    <n v="35000"/>
    <n v="7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Tobi Ibrahim"/>
    <s v="tobi.ibrahim@yahoo.com"/>
    <s v="0200-977-3797"/>
    <x v="0"/>
    <d v="2024-05-09T00:00:00"/>
    <s v="Blender"/>
    <n v="4"/>
    <n v="10000"/>
    <n v="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Victor Okoro"/>
    <s v="victor.okoro@gmail.com"/>
    <s v="04078066717"/>
    <x v="5"/>
    <d v="2024-04-13T00:00:00"/>
    <s v="Headphones"/>
    <n v="4"/>
    <n v="70000"/>
    <n v="28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atima Suleiman"/>
    <s v="fatima.suleiman@yahoo.com"/>
    <s v="0163-624-6770"/>
    <x v="0"/>
    <d v="2024-05-21T00:00:00"/>
    <s v="Handbag"/>
    <n v="1"/>
    <n v="5000"/>
    <n v="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Yusuf Okafor"/>
    <s v="yusuf.okafor@outlook.com"/>
    <s v="0159-013-9624"/>
    <x v="2"/>
    <d v="2024-03-23T00:00:00"/>
    <s v="Wrist Watch"/>
    <n v="5"/>
    <n v="35000"/>
    <n v="17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mina Abubakar"/>
    <s v="amina.abubakar@gmail.com"/>
    <s v="0023-904-2486"/>
    <x v="5"/>
    <d v="2024-03-07T00:00:00"/>
    <s v="Handbag"/>
    <n v="3"/>
    <n v="5000"/>
    <n v="1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Halima Bello"/>
    <s v="halima.bello@gmail.com"/>
    <s v="00666836450"/>
    <x v="2"/>
    <d v="2024-06-02T00:00:00"/>
    <s v="Wrist Watch"/>
    <n v="3"/>
    <n v="35000"/>
    <n v="10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daeze Eze"/>
    <s v="adaeze.eze@gmail.com"/>
    <s v="0044-516-6915"/>
    <x v="1"/>
    <d v="2024-04-26T00:00:00"/>
    <s v="Laptop"/>
    <n v="4"/>
    <n v="350000"/>
    <n v="14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Victor Okafor"/>
    <s v="victor.okafor@gmail.com"/>
    <s v="0681-570-8931"/>
    <x v="1"/>
    <d v="2024-03-28T00:00:00"/>
    <s v="Smartphone"/>
    <n v="1"/>
    <n v="250000"/>
    <n v="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atima Eze"/>
    <s v="fatima.eze@gmail.com"/>
    <s v="0520-002-0101"/>
    <x v="1"/>
    <d v="2024-04-12T00:00:00"/>
    <s v="Television"/>
    <n v="1"/>
    <n v="300000"/>
    <n v="3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Ngozi Okafor"/>
    <s v="ngozi.okafor@yahoo.com"/>
    <s v="01858369492"/>
    <x v="2"/>
    <d v="2024-04-28T00:00:00"/>
    <s v="Television"/>
    <n v="5"/>
    <n v="300000"/>
    <n v="15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ukwudi Sanni"/>
    <s v="chukwudi.sanni@gmail.com"/>
    <s v="0687-731-3228"/>
    <x v="5"/>
    <d v="2024-02-20T00:00:00"/>
    <s v="Television"/>
    <n v="5"/>
    <n v="300000"/>
    <n v="15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ukwudi Abubakar"/>
    <s v="chukwudi.abubakar6@outlook.com"/>
    <s v="0497-465-0752"/>
    <x v="0"/>
    <d v="2024-06-08T00:00:00"/>
    <s v="Handbag"/>
    <n v="2"/>
    <n v="5000"/>
    <n v="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nedu Okoro"/>
    <s v="chinedu.okoro@gmail.com"/>
    <s v="03253659368"/>
    <x v="2"/>
    <d v="2024-05-23T00:00:00"/>
    <s v="Handbag"/>
    <n v="4"/>
    <n v="5000"/>
    <n v="2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lessing Balogun"/>
    <s v="blessing.balogun@gmail.com"/>
    <s v="0098-326-3898"/>
    <x v="0"/>
    <d v="2024-02-10T00:00:00"/>
    <s v="Laptop"/>
    <n v="5"/>
    <n v="350000"/>
    <n v="17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Emeka Eze"/>
    <s v="emeka.eze@gmail.com"/>
    <s v="0420-750-9619"/>
    <x v="4"/>
    <d v="2024-06-20T00:00:00"/>
    <s v="Blender"/>
    <n v="1"/>
    <n v="10000"/>
    <n v="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Tunde Nwachukwu"/>
    <s v="tunde.nwachukwu@yahoo.com"/>
    <s v="02611491316"/>
    <x v="3"/>
    <d v="2024-01-01T00:00:00"/>
    <s v="Smartphone"/>
    <n v="5"/>
    <n v="250000"/>
    <n v="12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mina Okafor"/>
    <s v="amina.okafor@outlook.com"/>
    <s v="0603-699-6393"/>
    <x v="3"/>
    <d v="2024-05-16T00:00:00"/>
    <s v="Smartphone"/>
    <n v="2"/>
    <n v="250000"/>
    <n v="5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isha Adekunle"/>
    <s v="aisha.adekunle@gmail.com"/>
    <s v="0062-611-6957"/>
    <x v="4"/>
    <d v="2024-03-22T00:00:00"/>
    <s v="Headphones"/>
    <n v="2"/>
    <n v="70000"/>
    <n v="14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isi Bello"/>
    <s v="Missing"/>
    <s v="01836546107"/>
    <x v="2"/>
    <d v="2024-05-01T00:00:00"/>
    <s v="Television"/>
    <n v="2"/>
    <n v="300000"/>
    <n v="6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isha Ibrahim"/>
    <s v="aisha.ibrahim@outlook.com"/>
    <s v="0505-877-0658"/>
    <x v="2"/>
    <d v="2024-06-20T00:00:00"/>
    <s v="Sneakers"/>
    <n v="4"/>
    <n v="40000"/>
    <n v="16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nedu Okafor"/>
    <s v="chinedu.okafor@outlook.com"/>
    <s v="0387-371-6786"/>
    <x v="1"/>
    <d v="2024-01-19T00:00:00"/>
    <s v="Handbag"/>
    <n v="2"/>
    <n v="5000"/>
    <n v="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Chiamaka Balogun"/>
    <s v="Missing"/>
    <s v="0483-478-2450"/>
    <x v="5"/>
    <d v="2024-05-24T00:00:00"/>
    <s v="Laptop"/>
    <n v="5"/>
    <n v="350000"/>
    <n v="17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Blessing Okonkwo"/>
    <s v="blessing.okonkwo96@gmail.com"/>
    <s v="04005717279"/>
    <x v="2"/>
    <d v="2024-05-28T00:00:00"/>
    <s v="Handbag"/>
    <n v="2"/>
    <n v="5000"/>
    <n v="1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Tobi Lawal"/>
    <s v="tobi.lawal@yahoo.com"/>
    <s v="Missing"/>
    <x v="1"/>
    <d v="2024-06-03T00:00:00"/>
    <s v="Laptop"/>
    <n v="1"/>
    <n v="350000"/>
    <n v="3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Damilola Yusuf"/>
    <s v="damilola.yusuf@gmail.com"/>
    <s v="0436-700-6638"/>
    <x v="6"/>
    <d v="2024-01-04T00:00:00"/>
    <s v="Laptop"/>
    <n v="2"/>
    <n v="350000"/>
    <n v="70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Abdullahi Bello"/>
    <s v="abdullahi.bello@yahoo.com"/>
    <s v="0632-122-3307"/>
    <x v="4"/>
    <d v="2024-05-26T00:00:00"/>
    <s v="Blender"/>
    <n v="3"/>
    <n v="10000"/>
    <n v="3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Funke Umeh"/>
    <s v="funke.umeh@outlook.com"/>
    <s v="05393363387"/>
    <x v="5"/>
    <d v="2024-04-24T00:00:00"/>
    <s v="Headphones"/>
    <n v="5"/>
    <n v="70000"/>
    <n v="350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s v="Victor Lawal"/>
    <s v="victor.lawal@yahoo.com"/>
    <s v="Missing"/>
    <x v="2"/>
    <d v="2024-02-17T00:00:00"/>
    <s v="Handbag"/>
    <n v="5"/>
    <n v="5000"/>
    <n v="2500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m/>
    <m/>
    <m/>
    <x v="7"/>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Emeka Sanni"/>
    <s v="emeka.sanni41@outlook.com"/>
    <s v="08452984153"/>
    <x v="0"/>
    <x v="0"/>
    <x v="0"/>
    <n v="4"/>
    <n v="35000"/>
    <x v="0"/>
  </r>
  <r>
    <s v="Blessing Adekunle"/>
    <s v="blessing.adekunle@yahoo.com"/>
    <s v="0446-049-5660"/>
    <x v="1"/>
    <x v="1"/>
    <x v="1"/>
    <n v="5"/>
    <n v="250000"/>
    <x v="1"/>
  </r>
  <r>
    <s v="Musa Chukwu"/>
    <s v="musa.chukwu@yahoo.com"/>
    <s v="04634786122"/>
    <x v="2"/>
    <x v="2"/>
    <x v="2"/>
    <n v="3"/>
    <n v="5000"/>
    <x v="2"/>
  </r>
  <r>
    <s v="Chukwudi Okoro"/>
    <s v="chukwudi.okoro@gmail.com"/>
    <s v="Missing"/>
    <x v="2"/>
    <x v="3"/>
    <x v="2"/>
    <n v="5"/>
    <n v="5000"/>
    <x v="3"/>
  </r>
  <r>
    <s v="Ngozi Ibrahim"/>
    <s v="ngozi.ibrahim@yahoo.com"/>
    <s v="0889-148-6546"/>
    <x v="2"/>
    <x v="4"/>
    <x v="1"/>
    <n v="3"/>
    <n v="250000"/>
    <x v="4"/>
  </r>
  <r>
    <s v="Wale Okoro"/>
    <s v="wale.okoro@yahoo.com"/>
    <s v="Missing"/>
    <x v="3"/>
    <x v="5"/>
    <x v="3"/>
    <n v="5"/>
    <n v="10000"/>
    <x v="5"/>
  </r>
  <r>
    <s v="Adaeze Abubakar"/>
    <s v="adaeze.abubakar@outlook.com"/>
    <s v="0053-446-8826"/>
    <x v="3"/>
    <x v="6"/>
    <x v="1"/>
    <n v="1"/>
    <n v="250000"/>
    <x v="6"/>
  </r>
  <r>
    <s v="Chinedu Balogun"/>
    <s v="Missing"/>
    <s v="06199582254"/>
    <x v="4"/>
    <x v="7"/>
    <x v="3"/>
    <n v="1"/>
    <n v="10000"/>
    <x v="7"/>
  </r>
  <r>
    <s v="Aisha Balogun"/>
    <s v="aisha.balogun@outlook.com"/>
    <s v="0051-697-8464"/>
    <x v="0"/>
    <x v="8"/>
    <x v="1"/>
    <n v="1"/>
    <n v="250000"/>
    <x v="6"/>
  </r>
  <r>
    <s v="Ibrahim Abubakar"/>
    <s v="ibrahim.abubakar@gmail.com"/>
    <s v="09139099603"/>
    <x v="4"/>
    <x v="7"/>
    <x v="4"/>
    <n v="2"/>
    <n v="70000"/>
    <x v="0"/>
  </r>
  <r>
    <s v="Kunle Obi"/>
    <s v="kunle.obi@gmail.com"/>
    <s v="Missing"/>
    <x v="5"/>
    <x v="9"/>
    <x v="3"/>
    <n v="2"/>
    <n v="10000"/>
    <x v="8"/>
  </r>
  <r>
    <s v="Bisi Sanni"/>
    <s v="bisi.sanni@yahoo.com"/>
    <s v="Missing"/>
    <x v="0"/>
    <x v="10"/>
    <x v="3"/>
    <n v="2"/>
    <n v="10000"/>
    <x v="8"/>
  </r>
  <r>
    <s v="Emeka Okafor"/>
    <s v="emeka.okafor@gmail.com"/>
    <s v="0776-467-2720"/>
    <x v="3"/>
    <x v="11"/>
    <x v="0"/>
    <n v="1"/>
    <n v="35000"/>
    <x v="9"/>
  </r>
  <r>
    <s v="Abdullahi Chukwu"/>
    <s v="abdullahi.chukwu@yahoo.com"/>
    <s v="0352-056-1748"/>
    <x v="4"/>
    <x v="12"/>
    <x v="0"/>
    <n v="1"/>
    <n v="35000"/>
    <x v="9"/>
  </r>
  <r>
    <s v="Toyin Nwosu"/>
    <s v="toyin.nwosu@gmail.com"/>
    <s v="0718-818-1741"/>
    <x v="4"/>
    <x v="13"/>
    <x v="5"/>
    <n v="3"/>
    <n v="300000"/>
    <x v="10"/>
  </r>
  <r>
    <s v="Halima Adeyemi"/>
    <s v="halima.adeyemi@outlook.com"/>
    <s v="Missing"/>
    <x v="0"/>
    <x v="14"/>
    <x v="6"/>
    <n v="3"/>
    <n v="40000"/>
    <x v="11"/>
  </r>
  <r>
    <s v="Bukola Umeh"/>
    <s v="bukola.umeh@yahoo.com"/>
    <s v="07628331258"/>
    <x v="4"/>
    <x v="15"/>
    <x v="5"/>
    <n v="1"/>
    <n v="300000"/>
    <x v="12"/>
  </r>
  <r>
    <s v="Chidinma Balogun"/>
    <s v="Missing"/>
    <s v="0865-797-5432"/>
    <x v="4"/>
    <x v="16"/>
    <x v="4"/>
    <n v="3"/>
    <n v="70000"/>
    <x v="13"/>
  </r>
  <r>
    <s v="Chidinma Okafor"/>
    <s v="chidinma.okafor@outlook.com"/>
    <s v="03100251678"/>
    <x v="5"/>
    <x v="17"/>
    <x v="4"/>
    <n v="3"/>
    <n v="70000"/>
    <x v="13"/>
  </r>
  <r>
    <s v="Sani Okafor"/>
    <s v="sani.okafor@gmail.com"/>
    <s v="09022279180"/>
    <x v="2"/>
    <x v="18"/>
    <x v="1"/>
    <n v="1"/>
    <n v="250000"/>
    <x v="6"/>
  </r>
  <r>
    <s v="Sani Abubakar"/>
    <s v="sani.abubakar78@outlook.com"/>
    <s v="0620-191-3274"/>
    <x v="4"/>
    <x v="19"/>
    <x v="2"/>
    <n v="7"/>
    <n v="5000"/>
    <x v="9"/>
  </r>
  <r>
    <s v="Precious Nwosu"/>
    <s v="precious.nwosu@gmail.com"/>
    <s v="07010737504"/>
    <x v="5"/>
    <x v="20"/>
    <x v="4"/>
    <n v="4"/>
    <n v="70000"/>
    <x v="14"/>
  </r>
  <r>
    <s v="Halima Nwachukwu"/>
    <s v="halima.nwachukwu@yahoo.com"/>
    <s v="0777-412-1547"/>
    <x v="4"/>
    <x v="21"/>
    <x v="6"/>
    <n v="4"/>
    <n v="40000"/>
    <x v="15"/>
  </r>
  <r>
    <s v="Rukayat Adeyemi"/>
    <s v="rukayat.adeyemi@gmail.com"/>
    <s v="0309-260-0267"/>
    <x v="6"/>
    <x v="22"/>
    <x v="6"/>
    <n v="1"/>
    <n v="40000"/>
    <x v="16"/>
  </r>
  <r>
    <s v="Aisha Umeh"/>
    <s v="aisha.umeh@gmail.com"/>
    <s v="06133310014"/>
    <x v="4"/>
    <x v="21"/>
    <x v="7"/>
    <n v="3"/>
    <n v="350000"/>
    <x v="17"/>
  </r>
  <r>
    <s v="Obinna Nwosu"/>
    <s v="obinna.nwosu@outlook.com"/>
    <s v="02650201462"/>
    <x v="3"/>
    <x v="18"/>
    <x v="3"/>
    <n v="4"/>
    <n v="10000"/>
    <x v="16"/>
  </r>
  <r>
    <s v="Chiamaka Sanni"/>
    <s v="chiamaka.sanni@yahoo.com"/>
    <s v="0738-344-9223"/>
    <x v="2"/>
    <x v="23"/>
    <x v="0"/>
    <n v="1"/>
    <n v="35000"/>
    <x v="9"/>
  </r>
  <r>
    <s v="Chukwudi Obi"/>
    <s v="chukwudi.obi@outlook.com"/>
    <s v="0075-116-3726"/>
    <x v="1"/>
    <x v="24"/>
    <x v="7"/>
    <n v="3"/>
    <n v="350000"/>
    <x v="17"/>
  </r>
  <r>
    <s v="Funke Suleiman"/>
    <s v="funke.suleiman@outlook.com"/>
    <s v="09059582785"/>
    <x v="6"/>
    <x v="25"/>
    <x v="7"/>
    <n v="1"/>
    <n v="350000"/>
    <x v="18"/>
  </r>
  <r>
    <s v="Segun Obi"/>
    <s v="segun.obi@yahoo.com"/>
    <s v="0724-920-8682"/>
    <x v="2"/>
    <x v="26"/>
    <x v="1"/>
    <n v="5"/>
    <n v="250000"/>
    <x v="1"/>
  </r>
  <r>
    <s v="Kelechi Obi"/>
    <s v="kelechi.obi@yahoo.com"/>
    <s v="09873200080"/>
    <x v="4"/>
    <x v="26"/>
    <x v="3"/>
    <n v="5"/>
    <n v="10000"/>
    <x v="5"/>
  </r>
  <r>
    <s v="Ibrahim Sanni"/>
    <s v="ibrahim.sanni@outlook.com"/>
    <s v="0620-579-8682"/>
    <x v="2"/>
    <x v="27"/>
    <x v="0"/>
    <n v="4"/>
    <n v="35000"/>
    <x v="0"/>
  </r>
  <r>
    <s v="Chiamaka Yusuf"/>
    <s v="Missing"/>
    <s v="0332-493-5164"/>
    <x v="2"/>
    <x v="28"/>
    <x v="0"/>
    <n v="5"/>
    <n v="35000"/>
    <x v="19"/>
  </r>
  <r>
    <s v="Wale Chukwu"/>
    <s v="wale.chukwu@outlook.com"/>
    <s v="0983-478-8783"/>
    <x v="1"/>
    <x v="29"/>
    <x v="7"/>
    <n v="4"/>
    <n v="350000"/>
    <x v="20"/>
  </r>
  <r>
    <s v="Funke Obi"/>
    <s v="funke.obi@gmail.com"/>
    <s v="Missing"/>
    <x v="4"/>
    <x v="30"/>
    <x v="0"/>
    <n v="4"/>
    <n v="35000"/>
    <x v="0"/>
  </r>
  <r>
    <s v="Abdullahi Yusuf"/>
    <s v="abdullahi.yusuf@gmail.com"/>
    <s v="0616-751-3613"/>
    <x v="5"/>
    <x v="28"/>
    <x v="3"/>
    <n v="2"/>
    <n v="10000"/>
    <x v="8"/>
  </r>
  <r>
    <s v="Chiamaka Afolabi"/>
    <s v="chiamaka.afolabi9@yahoo.com"/>
    <s v="0859-952-8907"/>
    <x v="6"/>
    <x v="31"/>
    <x v="2"/>
    <n v="3"/>
    <n v="5000"/>
    <x v="2"/>
  </r>
  <r>
    <s v="Fatima Abubakar"/>
    <s v="fatima.abubakar@yahoo.com"/>
    <s v="03287046557"/>
    <x v="5"/>
    <x v="32"/>
    <x v="5"/>
    <n v="1"/>
    <n v="300000"/>
    <x v="12"/>
  </r>
  <r>
    <s v="Zainab Yusuf"/>
    <s v="zainab.yusuf@gmail.com"/>
    <s v="Missing"/>
    <x v="5"/>
    <x v="33"/>
    <x v="5"/>
    <n v="4"/>
    <n v="300000"/>
    <x v="21"/>
  </r>
  <r>
    <s v="Chiamaka Sanni"/>
    <s v="chiamaka.sanni@yahoo.com"/>
    <s v="03372117815"/>
    <x v="0"/>
    <x v="24"/>
    <x v="1"/>
    <n v="3"/>
    <n v="250000"/>
    <x v="4"/>
  </r>
  <r>
    <s v="Segun Ibrahim"/>
    <s v="segun.ibrahim@gmail.com"/>
    <s v="07316723268"/>
    <x v="0"/>
    <x v="34"/>
    <x v="7"/>
    <n v="2"/>
    <n v="350000"/>
    <x v="22"/>
  </r>
  <r>
    <s v="Wale Yusuf"/>
    <s v="wale.yusuf@outlook.com"/>
    <s v="0706-360-6071"/>
    <x v="5"/>
    <x v="4"/>
    <x v="4"/>
    <n v="1"/>
    <n v="70000"/>
    <x v="23"/>
  </r>
  <r>
    <s v="Fatima Umeh"/>
    <s v="fatima.umeh@gmail.com"/>
    <s v="0704-718-7463"/>
    <x v="4"/>
    <x v="3"/>
    <x v="0"/>
    <n v="5"/>
    <n v="35000"/>
    <x v="19"/>
  </r>
  <r>
    <s v="Segun Ibrahim"/>
    <s v="segun.ibrahim@gmail.com"/>
    <s v="0732-904-8449"/>
    <x v="1"/>
    <x v="35"/>
    <x v="0"/>
    <n v="4"/>
    <n v="35000"/>
    <x v="0"/>
  </r>
  <r>
    <s v="Precious Okafor"/>
    <s v="precious.okafor@outlook.com"/>
    <s v="Missing"/>
    <x v="1"/>
    <x v="36"/>
    <x v="7"/>
    <n v="3"/>
    <n v="350000"/>
    <x v="17"/>
  </r>
  <r>
    <s v="Ngozi Yusuf"/>
    <s v="ngozi.yusuf@gmail.com"/>
    <s v="0366-712-7684"/>
    <x v="6"/>
    <x v="18"/>
    <x v="1"/>
    <n v="2"/>
    <n v="250000"/>
    <x v="24"/>
  </r>
  <r>
    <s v="Amaka Bello"/>
    <s v="amaka.bello@gmail.com"/>
    <s v="09575513137"/>
    <x v="4"/>
    <x v="37"/>
    <x v="3"/>
    <n v="5"/>
    <n v="10000"/>
    <x v="5"/>
  </r>
  <r>
    <s v="Sani Okafor"/>
    <s v="sani.okafor34@gmail.com"/>
    <s v="0269-060-4431"/>
    <x v="2"/>
    <x v="38"/>
    <x v="0"/>
    <n v="5"/>
    <n v="35000"/>
    <x v="19"/>
  </r>
  <r>
    <s v="Aisha Obi"/>
    <s v="aisha.obi@outlook.com"/>
    <s v="0315-827-9401"/>
    <x v="3"/>
    <x v="39"/>
    <x v="2"/>
    <n v="4"/>
    <n v="5000"/>
    <x v="8"/>
  </r>
  <r>
    <s v="Emeka Eze"/>
    <s v="emeka.eze@gmail.com"/>
    <s v="01144024264"/>
    <x v="2"/>
    <x v="40"/>
    <x v="6"/>
    <n v="5"/>
    <n v="40000"/>
    <x v="25"/>
  </r>
  <r>
    <s v="Emeka Bello"/>
    <s v="emeka.bello@yahoo.com"/>
    <s v="0058-649-2083"/>
    <x v="6"/>
    <x v="36"/>
    <x v="1"/>
    <n v="4"/>
    <n v="250000"/>
    <x v="26"/>
  </r>
  <r>
    <s v="Ngozi Bello"/>
    <s v="ngozi.bello@outlook.com"/>
    <s v="0423-468-5356"/>
    <x v="3"/>
    <x v="41"/>
    <x v="0"/>
    <n v="4"/>
    <n v="35000"/>
    <x v="0"/>
  </r>
  <r>
    <s v="Chinedu Okafor"/>
    <s v="Missing"/>
    <s v="03943699192"/>
    <x v="5"/>
    <x v="42"/>
    <x v="5"/>
    <n v="5"/>
    <n v="300000"/>
    <x v="27"/>
  </r>
  <r>
    <s v="Bisi Adekunle"/>
    <s v="bisi.adekunle@outlook.com"/>
    <s v="0122-202-9729"/>
    <x v="0"/>
    <x v="43"/>
    <x v="2"/>
    <n v="3"/>
    <n v="5000"/>
    <x v="2"/>
  </r>
  <r>
    <s v="Musa Balogun"/>
    <s v="musa.balogun@gmail.com"/>
    <s v="0895-559-7971"/>
    <x v="1"/>
    <x v="17"/>
    <x v="3"/>
    <n v="2"/>
    <n v="10000"/>
    <x v="8"/>
  </r>
  <r>
    <s v="Precious Umeh"/>
    <s v="precious.umeh@gmail.com"/>
    <s v="08033401878"/>
    <x v="5"/>
    <x v="44"/>
    <x v="0"/>
    <n v="5"/>
    <n v="35000"/>
    <x v="19"/>
  </r>
  <r>
    <s v="Victor Ibrahim"/>
    <s v="victor.ibrahim@yahoo.com"/>
    <s v="05203409305"/>
    <x v="1"/>
    <x v="7"/>
    <x v="1"/>
    <n v="3"/>
    <n v="250000"/>
    <x v="4"/>
  </r>
  <r>
    <s v="Precious Ibrahim"/>
    <s v="precious.ibrahim@yahoo.com"/>
    <s v="0341-213-6224"/>
    <x v="0"/>
    <x v="45"/>
    <x v="1"/>
    <n v="1"/>
    <n v="250000"/>
    <x v="6"/>
  </r>
  <r>
    <s v="Funke Abubakar"/>
    <s v="funke.abubakar@outlook.com"/>
    <s v="04259472487"/>
    <x v="1"/>
    <x v="46"/>
    <x v="7"/>
    <n v="2"/>
    <n v="350000"/>
    <x v="22"/>
  </r>
  <r>
    <s v="Chinedu Balogun"/>
    <s v="chinedu.balogun@yahoo.com"/>
    <s v="0966-850-2739"/>
    <x v="5"/>
    <x v="47"/>
    <x v="7"/>
    <n v="1"/>
    <n v="350000"/>
    <x v="18"/>
  </r>
  <r>
    <s v="Chiamaka Nwosu"/>
    <s v="chiamaka.nwosu@gmail.com"/>
    <s v="05404868443"/>
    <x v="2"/>
    <x v="32"/>
    <x v="4"/>
    <n v="4"/>
    <n v="70000"/>
    <x v="14"/>
  </r>
  <r>
    <s v="Yusuf Yusuf"/>
    <s v="yusuf.yusuf@yahoo.com"/>
    <s v="0640-544-0559"/>
    <x v="1"/>
    <x v="48"/>
    <x v="7"/>
    <n v="2"/>
    <n v="350000"/>
    <x v="22"/>
  </r>
  <r>
    <s v="Adaeze Umeh"/>
    <s v="adaeze.umeh@outlook.com"/>
    <s v="01067924708"/>
    <x v="0"/>
    <x v="35"/>
    <x v="4"/>
    <n v="3"/>
    <n v="70000"/>
    <x v="13"/>
  </r>
  <r>
    <s v="Abdullahi Adekunle"/>
    <s v="abdullahi.adekunle@yahoo.com"/>
    <s v="01760313721"/>
    <x v="5"/>
    <x v="49"/>
    <x v="7"/>
    <n v="5"/>
    <n v="350000"/>
    <x v="28"/>
  </r>
  <r>
    <s v="Sani Sanni"/>
    <s v="sani.sanni@yahoo.com"/>
    <s v="01402614014"/>
    <x v="4"/>
    <x v="50"/>
    <x v="6"/>
    <n v="5"/>
    <n v="40000"/>
    <x v="25"/>
  </r>
  <r>
    <s v="Adaeze Okafor"/>
    <s v="adaeze.okafor@yahoo.com"/>
    <s v="07642656515"/>
    <x v="1"/>
    <x v="51"/>
    <x v="4"/>
    <n v="9"/>
    <n v="70000"/>
    <x v="29"/>
  </r>
  <r>
    <s v="Kelechi Adeyemi"/>
    <s v="kelechi.adeyemi@gmail.com"/>
    <s v="00018263304"/>
    <x v="2"/>
    <x v="52"/>
    <x v="3"/>
    <n v="4"/>
    <n v="10000"/>
    <x v="16"/>
  </r>
  <r>
    <s v="Obinna Nwosu"/>
    <s v="obinna.nwosu@yahoo.com"/>
    <s v="07617409319"/>
    <x v="1"/>
    <x v="29"/>
    <x v="7"/>
    <n v="8"/>
    <n v="350000"/>
    <x v="30"/>
  </r>
  <r>
    <s v="Adaeze Eze"/>
    <s v="adaeze.eze77@yahoo.com"/>
    <s v="0651-788-0021"/>
    <x v="1"/>
    <x v="23"/>
    <x v="5"/>
    <n v="2"/>
    <n v="300000"/>
    <x v="31"/>
  </r>
  <r>
    <s v="Yusuf Abubakar"/>
    <s v="yusuf.abubakar@outlook.com"/>
    <s v="03643900847"/>
    <x v="1"/>
    <x v="14"/>
    <x v="0"/>
    <n v="2"/>
    <n v="35000"/>
    <x v="23"/>
  </r>
  <r>
    <s v="Ibrahim Nwachukwu"/>
    <s v="ibrahim.nwachukwu@outlook.com"/>
    <s v="03064003761"/>
    <x v="3"/>
    <x v="9"/>
    <x v="0"/>
    <n v="2"/>
    <n v="35000"/>
    <x v="23"/>
  </r>
  <r>
    <s v="Chiamaka Yusuf"/>
    <s v="chiamaka.yusuf@outlook.com"/>
    <s v="05545904544"/>
    <x v="2"/>
    <x v="30"/>
    <x v="3"/>
    <n v="5"/>
    <n v="10000"/>
    <x v="5"/>
  </r>
  <r>
    <s v="Uche Okonkwo"/>
    <s v="uche.okonkwo@gmail.com"/>
    <s v="0948-219-9351"/>
    <x v="5"/>
    <x v="12"/>
    <x v="2"/>
    <n v="4"/>
    <n v="5000"/>
    <x v="8"/>
  </r>
  <r>
    <s v="Zainab Adeyemi"/>
    <s v="zainab.adeyemi@yahoo.com"/>
    <s v="05759183623"/>
    <x v="3"/>
    <x v="4"/>
    <x v="1"/>
    <n v="5"/>
    <n v="250000"/>
    <x v="1"/>
  </r>
  <r>
    <s v="Femi Adeyemi"/>
    <s v="femi.adeyemi@gmail.com"/>
    <s v="01815908301"/>
    <x v="5"/>
    <x v="46"/>
    <x v="6"/>
    <n v="3"/>
    <n v="40000"/>
    <x v="11"/>
  </r>
  <r>
    <s v="Zainab Obi"/>
    <s v="zainab.obi@gmail.com"/>
    <s v="07074137484"/>
    <x v="0"/>
    <x v="6"/>
    <x v="5"/>
    <n v="3"/>
    <n v="300000"/>
    <x v="10"/>
  </r>
  <r>
    <s v="Nkechi Ibrahim"/>
    <s v="nkechi.ibrahim@gmail.com"/>
    <s v="05656304813"/>
    <x v="4"/>
    <x v="26"/>
    <x v="0"/>
    <n v="2"/>
    <n v="35000"/>
    <x v="23"/>
  </r>
  <r>
    <s v="Tobi Ibrahim"/>
    <s v="tobi.ibrahim@yahoo.com"/>
    <s v="0200-977-3797"/>
    <x v="0"/>
    <x v="14"/>
    <x v="3"/>
    <n v="4"/>
    <n v="10000"/>
    <x v="16"/>
  </r>
  <r>
    <s v="Victor Okoro"/>
    <s v="victor.okoro@gmail.com"/>
    <s v="04078066717"/>
    <x v="5"/>
    <x v="53"/>
    <x v="4"/>
    <n v="4"/>
    <n v="70000"/>
    <x v="14"/>
  </r>
  <r>
    <s v="Fatima Suleiman"/>
    <s v="fatima.suleiman@yahoo.com"/>
    <s v="0163-624-6770"/>
    <x v="0"/>
    <x v="54"/>
    <x v="2"/>
    <n v="1"/>
    <n v="5000"/>
    <x v="32"/>
  </r>
  <r>
    <s v="Yusuf Okafor"/>
    <s v="yusuf.okafor@outlook.com"/>
    <s v="0159-013-9624"/>
    <x v="2"/>
    <x v="55"/>
    <x v="0"/>
    <n v="5"/>
    <n v="35000"/>
    <x v="19"/>
  </r>
  <r>
    <s v="Amina Abubakar"/>
    <s v="amina.abubakar@gmail.com"/>
    <s v="0023-904-2486"/>
    <x v="5"/>
    <x v="56"/>
    <x v="2"/>
    <n v="3"/>
    <n v="5000"/>
    <x v="2"/>
  </r>
  <r>
    <s v="Halima Bello"/>
    <s v="halima.bello@gmail.com"/>
    <s v="00666836450"/>
    <x v="2"/>
    <x v="5"/>
    <x v="0"/>
    <n v="3"/>
    <n v="35000"/>
    <x v="33"/>
  </r>
  <r>
    <s v="Adaeze Eze"/>
    <s v="adaeze.eze@gmail.com"/>
    <s v="0044-516-6915"/>
    <x v="1"/>
    <x v="44"/>
    <x v="7"/>
    <n v="4"/>
    <n v="350000"/>
    <x v="20"/>
  </r>
  <r>
    <s v="Victor Okafor"/>
    <s v="victor.okafor@gmail.com"/>
    <s v="0681-570-8931"/>
    <x v="1"/>
    <x v="57"/>
    <x v="1"/>
    <n v="1"/>
    <n v="250000"/>
    <x v="6"/>
  </r>
  <r>
    <s v="Fatima Eze"/>
    <s v="fatima.eze@gmail.com"/>
    <s v="0520-002-0101"/>
    <x v="1"/>
    <x v="58"/>
    <x v="5"/>
    <n v="1"/>
    <n v="300000"/>
    <x v="12"/>
  </r>
  <r>
    <s v="Ngozi Okafor"/>
    <s v="ngozi.okafor@yahoo.com"/>
    <s v="01858369492"/>
    <x v="2"/>
    <x v="10"/>
    <x v="5"/>
    <n v="5"/>
    <n v="300000"/>
    <x v="27"/>
  </r>
  <r>
    <s v="Chukwudi Sanni"/>
    <s v="chukwudi.sanni@gmail.com"/>
    <s v="0687-731-3228"/>
    <x v="5"/>
    <x v="51"/>
    <x v="5"/>
    <n v="5"/>
    <n v="300000"/>
    <x v="27"/>
  </r>
  <r>
    <s v="Chukwudi Abubakar"/>
    <s v="chukwudi.abubakar6@outlook.com"/>
    <s v="0497-465-0752"/>
    <x v="0"/>
    <x v="31"/>
    <x v="2"/>
    <n v="2"/>
    <n v="5000"/>
    <x v="7"/>
  </r>
  <r>
    <s v="Chinedu Okoro"/>
    <s v="chinedu.okoro@gmail.com"/>
    <s v="03253659368"/>
    <x v="2"/>
    <x v="48"/>
    <x v="2"/>
    <n v="4"/>
    <n v="5000"/>
    <x v="8"/>
  </r>
  <r>
    <s v="Blessing Balogun"/>
    <s v="blessing.balogun@gmail.com"/>
    <s v="0098-326-3898"/>
    <x v="0"/>
    <x v="59"/>
    <x v="7"/>
    <n v="5"/>
    <n v="350000"/>
    <x v="28"/>
  </r>
  <r>
    <s v="Emeka Eze"/>
    <s v="emeka.eze@gmail.com"/>
    <s v="0420-750-9619"/>
    <x v="4"/>
    <x v="60"/>
    <x v="3"/>
    <n v="1"/>
    <n v="10000"/>
    <x v="7"/>
  </r>
  <r>
    <s v="Tunde Nwachukwu"/>
    <s v="tunde.nwachukwu@yahoo.com"/>
    <s v="02611491316"/>
    <x v="3"/>
    <x v="61"/>
    <x v="1"/>
    <n v="5"/>
    <n v="250000"/>
    <x v="1"/>
  </r>
  <r>
    <s v="Amina Okafor"/>
    <s v="amina.okafor@outlook.com"/>
    <s v="0603-699-6393"/>
    <x v="3"/>
    <x v="62"/>
    <x v="1"/>
    <n v="2"/>
    <n v="250000"/>
    <x v="24"/>
  </r>
  <r>
    <s v="Aisha Adekunle"/>
    <s v="aisha.adekunle@gmail.com"/>
    <s v="0062-611-6957"/>
    <x v="4"/>
    <x v="63"/>
    <x v="4"/>
    <n v="2"/>
    <n v="70000"/>
    <x v="0"/>
  </r>
  <r>
    <s v="Bisi Bello"/>
    <s v="Missing"/>
    <s v="01836546107"/>
    <x v="2"/>
    <x v="64"/>
    <x v="5"/>
    <n v="2"/>
    <n v="300000"/>
    <x v="31"/>
  </r>
  <r>
    <s v="Aisha Ibrahim"/>
    <s v="aisha.ibrahim@outlook.com"/>
    <s v="0505-877-0658"/>
    <x v="2"/>
    <x v="60"/>
    <x v="6"/>
    <n v="4"/>
    <n v="40000"/>
    <x v="15"/>
  </r>
  <r>
    <s v="Chinedu Okafor"/>
    <s v="chinedu.okafor@outlook.com"/>
    <s v="0387-371-6786"/>
    <x v="1"/>
    <x v="0"/>
    <x v="2"/>
    <n v="2"/>
    <n v="5000"/>
    <x v="7"/>
  </r>
  <r>
    <s v="Chiamaka Balogun"/>
    <s v="Missing"/>
    <s v="0483-478-2450"/>
    <x v="5"/>
    <x v="22"/>
    <x v="7"/>
    <n v="5"/>
    <n v="350000"/>
    <x v="28"/>
  </r>
  <r>
    <s v="Blessing Okonkwo"/>
    <s v="blessing.okonkwo96@gmail.com"/>
    <s v="04005717279"/>
    <x v="2"/>
    <x v="20"/>
    <x v="2"/>
    <n v="2"/>
    <n v="5000"/>
    <x v="7"/>
  </r>
  <r>
    <s v="Tobi Lawal"/>
    <s v="tobi.lawal@yahoo.com"/>
    <s v="Missing"/>
    <x v="1"/>
    <x v="65"/>
    <x v="7"/>
    <n v="1"/>
    <n v="350000"/>
    <x v="18"/>
  </r>
  <r>
    <s v="Damilola Yusuf"/>
    <s v="damilola.yusuf@gmail.com"/>
    <s v="0436-700-6638"/>
    <x v="6"/>
    <x v="8"/>
    <x v="7"/>
    <n v="2"/>
    <n v="350000"/>
    <x v="22"/>
  </r>
  <r>
    <s v="Abdullahi Bello"/>
    <s v="abdullahi.bello@yahoo.com"/>
    <s v="0632-122-3307"/>
    <x v="4"/>
    <x v="24"/>
    <x v="3"/>
    <n v="3"/>
    <n v="10000"/>
    <x v="34"/>
  </r>
  <r>
    <s v="Funke Umeh"/>
    <s v="funke.umeh@outlook.com"/>
    <s v="05393363387"/>
    <x v="5"/>
    <x v="66"/>
    <x v="4"/>
    <n v="5"/>
    <n v="70000"/>
    <x v="18"/>
  </r>
  <r>
    <s v="Victor Lawal"/>
    <s v="victor.lawal@yahoo.com"/>
    <s v="Missing"/>
    <x v="2"/>
    <x v="2"/>
    <x v="2"/>
    <n v="5"/>
    <n v="5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64895-79C8-47AD-94C6-5C2FEA3FB33A}" name="PivotTable1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3:P22" firstHeaderRow="1" firstDataRow="2" firstDataCol="1"/>
  <pivotFields count="11">
    <pivotField showAll="0"/>
    <pivotField showAll="0"/>
    <pivotField showAll="0"/>
    <pivotField axis="axisRow" showAll="0">
      <items count="8">
        <item x="4"/>
        <item x="3"/>
        <item x="0"/>
        <item x="2"/>
        <item x="5"/>
        <item x="6"/>
        <item x="1"/>
        <item t="default"/>
      </items>
    </pivotField>
    <pivotField numFmtId="164" showAll="0">
      <items count="68">
        <item x="61"/>
        <item x="45"/>
        <item x="8"/>
        <item x="23"/>
        <item x="15"/>
        <item x="34"/>
        <item x="17"/>
        <item x="28"/>
        <item x="42"/>
        <item x="21"/>
        <item x="0"/>
        <item x="37"/>
        <item x="29"/>
        <item x="43"/>
        <item x="52"/>
        <item x="6"/>
        <item x="59"/>
        <item x="9"/>
        <item x="2"/>
        <item x="51"/>
        <item x="36"/>
        <item x="46"/>
        <item x="39"/>
        <item x="4"/>
        <item x="56"/>
        <item x="40"/>
        <item x="41"/>
        <item x="63"/>
        <item x="55"/>
        <item x="3"/>
        <item x="57"/>
        <item x="47"/>
        <item x="50"/>
        <item x="58"/>
        <item x="53"/>
        <item x="33"/>
        <item x="35"/>
        <item x="66"/>
        <item x="44"/>
        <item x="10"/>
        <item x="64"/>
        <item x="32"/>
        <item x="14"/>
        <item x="1"/>
        <item x="18"/>
        <item x="7"/>
        <item x="27"/>
        <item x="62"/>
        <item x="12"/>
        <item x="54"/>
        <item x="19"/>
        <item x="48"/>
        <item x="22"/>
        <item x="24"/>
        <item x="49"/>
        <item x="20"/>
        <item x="5"/>
        <item x="65"/>
        <item x="31"/>
        <item x="16"/>
        <item x="25"/>
        <item x="26"/>
        <item x="11"/>
        <item x="60"/>
        <item x="38"/>
        <item x="30"/>
        <item x="13"/>
        <item t="default"/>
      </items>
    </pivotField>
    <pivotField axis="axisCol" showAll="0">
      <items count="9">
        <item x="3"/>
        <item x="2"/>
        <item x="4"/>
        <item x="7"/>
        <item x="1"/>
        <item x="6"/>
        <item x="5"/>
        <item x="0"/>
        <item t="default"/>
      </items>
    </pivotField>
    <pivotField showAll="0"/>
    <pivotField showAll="0"/>
    <pivotField dataField="1" showAll="0">
      <items count="36">
        <item x="32"/>
        <item x="7"/>
        <item x="2"/>
        <item x="8"/>
        <item x="3"/>
        <item x="34"/>
        <item x="9"/>
        <item x="16"/>
        <item x="5"/>
        <item x="23"/>
        <item x="33"/>
        <item x="11"/>
        <item x="0"/>
        <item x="15"/>
        <item x="19"/>
        <item x="25"/>
        <item x="13"/>
        <item x="6"/>
        <item x="14"/>
        <item x="12"/>
        <item x="18"/>
        <item x="24"/>
        <item x="31"/>
        <item x="29"/>
        <item x="22"/>
        <item x="4"/>
        <item x="10"/>
        <item x="26"/>
        <item x="17"/>
        <item x="21"/>
        <item x="1"/>
        <item x="20"/>
        <item x="27"/>
        <item x="28"/>
        <item x="3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8">
    <i>
      <x/>
    </i>
    <i>
      <x v="1"/>
    </i>
    <i>
      <x v="2"/>
    </i>
    <i>
      <x v="3"/>
    </i>
    <i>
      <x v="4"/>
    </i>
    <i>
      <x v="5"/>
    </i>
    <i>
      <x v="6"/>
    </i>
    <i t="grand">
      <x/>
    </i>
  </rowItems>
  <colFields count="1">
    <field x="5"/>
  </colFields>
  <colItems count="9">
    <i>
      <x/>
    </i>
    <i>
      <x v="1"/>
    </i>
    <i>
      <x v="2"/>
    </i>
    <i>
      <x v="3"/>
    </i>
    <i>
      <x v="4"/>
    </i>
    <i>
      <x v="5"/>
    </i>
    <i>
      <x v="6"/>
    </i>
    <i>
      <x v="7"/>
    </i>
    <i t="grand">
      <x/>
    </i>
  </colItems>
  <dataFields count="1">
    <dataField name="Count of Amount" fld="8" subtotal="count" baseField="3" baseItem="0"/>
  </dataFields>
  <chartFormats count="8">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 chart="2" format="12" series="1">
      <pivotArea type="data" outline="0" fieldPosition="0">
        <references count="2">
          <reference field="4294967294" count="1" selected="0">
            <x v="0"/>
          </reference>
          <reference field="5" count="1" selected="0">
            <x v="4"/>
          </reference>
        </references>
      </pivotArea>
    </chartFormat>
    <chartFormat chart="2" format="13" series="1">
      <pivotArea type="data" outline="0" fieldPosition="0">
        <references count="2">
          <reference field="4294967294" count="1" selected="0">
            <x v="0"/>
          </reference>
          <reference field="5" count="1" selected="0">
            <x v="5"/>
          </reference>
        </references>
      </pivotArea>
    </chartFormat>
    <chartFormat chart="2" format="14" series="1">
      <pivotArea type="data" outline="0" fieldPosition="0">
        <references count="2">
          <reference field="4294967294" count="1" selected="0">
            <x v="0"/>
          </reference>
          <reference field="5" count="1" selected="0">
            <x v="6"/>
          </reference>
        </references>
      </pivotArea>
    </chartFormat>
    <chartFormat chart="2" format="15" series="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E4C917-95FC-4FCD-B7C6-ABDEDA6A15B7}" name="PivotTable1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0" firstHeaderRow="1" firstDataRow="1" firstDataCol="1"/>
  <pivotFields count="11">
    <pivotField showAll="0"/>
    <pivotField showAll="0"/>
    <pivotField showAll="0"/>
    <pivotField showAll="0">
      <items count="8">
        <item x="4"/>
        <item x="3"/>
        <item x="0"/>
        <item x="2"/>
        <item x="5"/>
        <item x="6"/>
        <item x="1"/>
        <item t="default"/>
      </items>
    </pivotField>
    <pivotField axis="axisRow" numFmtId="164" showAll="0">
      <items count="68">
        <item x="61"/>
        <item x="45"/>
        <item x="8"/>
        <item x="23"/>
        <item x="15"/>
        <item x="34"/>
        <item x="17"/>
        <item x="28"/>
        <item x="42"/>
        <item x="21"/>
        <item x="0"/>
        <item x="37"/>
        <item x="29"/>
        <item x="43"/>
        <item x="52"/>
        <item x="6"/>
        <item x="59"/>
        <item x="9"/>
        <item x="2"/>
        <item x="51"/>
        <item x="36"/>
        <item x="46"/>
        <item x="39"/>
        <item x="4"/>
        <item x="56"/>
        <item x="40"/>
        <item x="41"/>
        <item x="63"/>
        <item x="55"/>
        <item x="3"/>
        <item x="57"/>
        <item x="47"/>
        <item x="50"/>
        <item x="58"/>
        <item x="53"/>
        <item x="33"/>
        <item x="35"/>
        <item x="66"/>
        <item x="44"/>
        <item x="10"/>
        <item x="64"/>
        <item x="32"/>
        <item x="14"/>
        <item x="1"/>
        <item x="18"/>
        <item x="7"/>
        <item x="27"/>
        <item x="62"/>
        <item x="12"/>
        <item x="54"/>
        <item x="19"/>
        <item x="48"/>
        <item x="22"/>
        <item x="24"/>
        <item x="49"/>
        <item x="20"/>
        <item x="5"/>
        <item x="65"/>
        <item x="31"/>
        <item x="16"/>
        <item x="25"/>
        <item x="26"/>
        <item x="11"/>
        <item x="60"/>
        <item x="38"/>
        <item x="30"/>
        <item x="13"/>
        <item t="default"/>
      </items>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4"/>
  </rowFields>
  <rowItems count="7">
    <i>
      <x v="1"/>
    </i>
    <i>
      <x v="2"/>
    </i>
    <i>
      <x v="3"/>
    </i>
    <i>
      <x v="4"/>
    </i>
    <i>
      <x v="5"/>
    </i>
    <i>
      <x v="6"/>
    </i>
    <i t="grand">
      <x/>
    </i>
  </rowItems>
  <colItems count="1">
    <i/>
  </colItems>
  <dataFields count="1">
    <dataField name="Sum of Amount" fld="8"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64A98-8A1D-4EE2-A6F7-48736E274A80}" name="PivotTable1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22" firstHeaderRow="1" firstDataRow="1" firstDataCol="1"/>
  <pivotFields count="16384">
    <pivotField showAll="0"/>
    <pivotField showAll="0"/>
    <pivotField showAll="0"/>
    <pivotField axis="axisRow" showAll="0">
      <items count="9">
        <item x="4"/>
        <item x="3"/>
        <item x="0"/>
        <item x="2"/>
        <item x="5"/>
        <item x="6"/>
        <item x="1"/>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Amount" fld="8" baseField="0" baseItem="0"/>
  </dataFields>
  <chartFormats count="1">
    <chartFormat chart="1" format="9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C1C9C1-836F-44B1-939C-DB0089199BB4}" name="PivotTable6"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A3:B11" firstHeaderRow="1" firstDataRow="1" firstDataCol="1"/>
  <pivotFields count="11">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4"/>
        <item x="3"/>
        <item x="0"/>
        <item x="2"/>
        <item x="5"/>
        <item x="6"/>
        <item x="1"/>
      </items>
      <extLst>
        <ext xmlns:x14="http://schemas.microsoft.com/office/spreadsheetml/2009/9/main" uri="{2946ED86-A175-432a-8AC1-64E0C546D7DE}">
          <x14:pivotField fillDownLabels="1"/>
        </ext>
      </extLst>
    </pivotField>
    <pivotField compact="0" numFmtId="164" outline="0" showAll="0" defaultSubtotal="0">
      <items count="67">
        <item x="61"/>
        <item x="45"/>
        <item x="8"/>
        <item x="23"/>
        <item x="15"/>
        <item x="34"/>
        <item x="17"/>
        <item x="28"/>
        <item x="42"/>
        <item x="21"/>
        <item x="0"/>
        <item x="37"/>
        <item x="29"/>
        <item x="43"/>
        <item x="52"/>
        <item x="6"/>
        <item x="59"/>
        <item x="9"/>
        <item x="2"/>
        <item x="51"/>
        <item x="36"/>
        <item x="46"/>
        <item x="39"/>
        <item x="4"/>
        <item x="56"/>
        <item x="40"/>
        <item x="41"/>
        <item x="63"/>
        <item x="55"/>
        <item x="3"/>
        <item x="57"/>
        <item x="47"/>
        <item x="50"/>
        <item x="58"/>
        <item x="53"/>
        <item x="33"/>
        <item x="35"/>
        <item x="66"/>
        <item x="44"/>
        <item x="10"/>
        <item x="64"/>
        <item x="32"/>
        <item x="14"/>
        <item x="1"/>
        <item x="18"/>
        <item x="7"/>
        <item x="27"/>
        <item x="62"/>
        <item x="12"/>
        <item x="54"/>
        <item x="19"/>
        <item x="48"/>
        <item x="22"/>
        <item x="24"/>
        <item x="49"/>
        <item x="20"/>
        <item x="5"/>
        <item x="65"/>
        <item x="31"/>
        <item x="16"/>
        <item x="25"/>
        <item x="26"/>
        <item x="11"/>
        <item x="60"/>
        <item x="38"/>
        <item x="30"/>
        <item x="13"/>
      </items>
      <extLst>
        <ext xmlns:x14="http://schemas.microsoft.com/office/spreadsheetml/2009/9/main" uri="{2946ED86-A175-432a-8AC1-64E0C546D7DE}">
          <x14:pivotField fillDownLabels="1"/>
        </ext>
      </extLst>
    </pivotField>
    <pivotField axis="axisRow" compact="0" outline="0" showAll="0" defaultSubtotal="0">
      <items count="8">
        <item x="3"/>
        <item x="2"/>
        <item x="4"/>
        <item x="7"/>
        <item x="1"/>
        <item x="6"/>
        <item x="5"/>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1">
    <field x="5"/>
  </rowFields>
  <rowItems count="8">
    <i>
      <x/>
    </i>
    <i>
      <x v="1"/>
    </i>
    <i>
      <x v="2"/>
    </i>
    <i>
      <x v="3"/>
    </i>
    <i>
      <x v="4"/>
    </i>
    <i>
      <x v="5"/>
    </i>
    <i>
      <x v="6"/>
    </i>
    <i>
      <x v="7"/>
    </i>
  </rowItems>
  <colItems count="1">
    <i/>
  </colItems>
  <dataFields count="1">
    <dataField name="Count of Amount" fld="8"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2908AF0-2D47-4726-AC32-0E9A466D6461}" sourceName="Location">
  <pivotTables>
    <pivotTable tabId="11" name="PivotTable6"/>
  </pivotTables>
  <data>
    <tabular pivotCacheId="1265709150">
      <items count="7">
        <i x="4" s="1"/>
        <i x="3" s="1"/>
        <i x="0" s="1"/>
        <i x="2" s="1"/>
        <i x="5"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AF57DE8E-F2C3-4817-8C3D-E2698AF16BBC}" sourceName="Location">
  <pivotTables>
    <pivotTable tabId="11" name="PivotTable13"/>
  </pivotTables>
  <data>
    <tabular pivotCacheId="1265709150">
      <items count="7">
        <i x="4" s="1"/>
        <i x="3" s="1"/>
        <i x="0" s="1"/>
        <i x="2" s="1"/>
        <i x="5"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85106DE-CFF3-4006-9614-A03FC09733F2}" cache="Slicer_Location" caption="Location" rowHeight="241300"/>
  <slicer name="Location 1" xr10:uid="{978A6E4D-4A09-4764-A686-B9B1B12200F8}" cache="Slicer_Location1" caption="Location"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4"/>
  <sheetViews>
    <sheetView zoomScaleNormal="100" workbookViewId="0">
      <pane ySplit="1" topLeftCell="A2" activePane="bottomLeft" state="frozen"/>
      <selection pane="bottomLeft" activeCell="D16" sqref="D16"/>
    </sheetView>
  </sheetViews>
  <sheetFormatPr defaultColWidth="8.6328125" defaultRowHeight="14.5" x14ac:dyDescent="0.35"/>
  <cols>
    <col min="1" max="1" width="22" customWidth="1"/>
    <col min="2" max="2" width="30" customWidth="1"/>
    <col min="3" max="3" width="18" customWidth="1"/>
    <col min="4" max="5" width="16" customWidth="1"/>
    <col min="6" max="6" width="14" customWidth="1"/>
    <col min="7" max="7" width="10" customWidth="1"/>
    <col min="8" max="8" width="14.08984375" customWidth="1"/>
    <col min="9" max="9" width="12" customWidth="1"/>
  </cols>
  <sheetData>
    <row r="1" spans="1:9" s="22" customFormat="1" ht="19.5" customHeight="1" x14ac:dyDescent="0.35">
      <c r="A1" s="2" t="s">
        <v>0</v>
      </c>
      <c r="B1" s="2" t="s">
        <v>1</v>
      </c>
      <c r="C1" s="2" t="s">
        <v>2</v>
      </c>
      <c r="D1" s="2" t="s">
        <v>3</v>
      </c>
      <c r="E1" s="2" t="s">
        <v>4</v>
      </c>
      <c r="F1" s="2" t="s">
        <v>5</v>
      </c>
      <c r="G1" s="2" t="s">
        <v>6</v>
      </c>
      <c r="H1" s="2" t="s">
        <v>461</v>
      </c>
      <c r="I1" s="2" t="s">
        <v>7</v>
      </c>
    </row>
    <row r="2" spans="1:9" x14ac:dyDescent="0.35">
      <c r="A2" s="1" t="s">
        <v>8</v>
      </c>
      <c r="B2" s="1" t="s">
        <v>9</v>
      </c>
      <c r="C2" s="1" t="s">
        <v>10</v>
      </c>
      <c r="D2" s="1" t="s">
        <v>11</v>
      </c>
      <c r="E2" s="1" t="s">
        <v>12</v>
      </c>
      <c r="F2" s="1" t="s">
        <v>13</v>
      </c>
      <c r="G2" s="1">
        <v>4</v>
      </c>
      <c r="H2" s="1">
        <v>35000</v>
      </c>
      <c r="I2" s="1">
        <f>H2*G2</f>
        <v>140000</v>
      </c>
    </row>
    <row r="3" spans="1:9" x14ac:dyDescent="0.35">
      <c r="A3" s="1" t="s">
        <v>14</v>
      </c>
      <c r="B3" s="1" t="s">
        <v>15</v>
      </c>
      <c r="C3" s="1" t="s">
        <v>16</v>
      </c>
      <c r="D3" s="1" t="s">
        <v>17</v>
      </c>
      <c r="E3" s="1" t="s">
        <v>18</v>
      </c>
      <c r="F3" s="1" t="s">
        <v>19</v>
      </c>
      <c r="G3" s="1">
        <v>5</v>
      </c>
      <c r="H3" s="1">
        <v>250000</v>
      </c>
      <c r="I3" s="1">
        <f>H3*G3</f>
        <v>1250000</v>
      </c>
    </row>
    <row r="4" spans="1:9" x14ac:dyDescent="0.35">
      <c r="A4" s="1" t="s">
        <v>20</v>
      </c>
      <c r="B4" s="1" t="s">
        <v>21</v>
      </c>
      <c r="C4" s="1" t="s">
        <v>22</v>
      </c>
      <c r="D4" s="1" t="s">
        <v>23</v>
      </c>
      <c r="E4" s="1" t="s">
        <v>24</v>
      </c>
      <c r="F4" s="1" t="s">
        <v>25</v>
      </c>
      <c r="G4" s="1">
        <v>3</v>
      </c>
      <c r="H4" s="1">
        <v>5000</v>
      </c>
      <c r="I4" s="1">
        <f t="shared" ref="I4:I67" si="0">H4*G4</f>
        <v>15000</v>
      </c>
    </row>
    <row r="5" spans="1:9" x14ac:dyDescent="0.35">
      <c r="A5" s="1" t="s">
        <v>26</v>
      </c>
      <c r="B5" s="1" t="s">
        <v>27</v>
      </c>
      <c r="C5" s="1"/>
      <c r="D5" s="1" t="s">
        <v>28</v>
      </c>
      <c r="E5" s="1" t="s">
        <v>29</v>
      </c>
      <c r="F5" s="1" t="s">
        <v>25</v>
      </c>
      <c r="G5" s="1">
        <v>5</v>
      </c>
      <c r="H5" s="1">
        <v>5000</v>
      </c>
      <c r="I5" s="1">
        <f t="shared" si="0"/>
        <v>25000</v>
      </c>
    </row>
    <row r="6" spans="1:9" x14ac:dyDescent="0.35">
      <c r="A6" s="1" t="s">
        <v>30</v>
      </c>
      <c r="B6" s="1" t="s">
        <v>31</v>
      </c>
      <c r="C6" s="1" t="s">
        <v>32</v>
      </c>
      <c r="D6" s="1" t="s">
        <v>33</v>
      </c>
      <c r="E6" s="1" t="s">
        <v>34</v>
      </c>
      <c r="F6" s="1" t="s">
        <v>35</v>
      </c>
      <c r="G6" s="1">
        <v>3</v>
      </c>
      <c r="H6" s="1">
        <v>250000</v>
      </c>
      <c r="I6" s="1">
        <f t="shared" si="0"/>
        <v>750000</v>
      </c>
    </row>
    <row r="7" spans="1:9" x14ac:dyDescent="0.35">
      <c r="A7" s="1" t="s">
        <v>36</v>
      </c>
      <c r="B7" s="1" t="s">
        <v>37</v>
      </c>
      <c r="C7" s="1"/>
      <c r="D7" s="1" t="s">
        <v>38</v>
      </c>
      <c r="E7" s="1" t="s">
        <v>39</v>
      </c>
      <c r="F7" s="1" t="s">
        <v>40</v>
      </c>
      <c r="G7" s="1">
        <v>5</v>
      </c>
      <c r="H7" s="1">
        <v>10000</v>
      </c>
      <c r="I7" s="1">
        <f t="shared" si="0"/>
        <v>50000</v>
      </c>
    </row>
    <row r="8" spans="1:9" x14ac:dyDescent="0.35">
      <c r="A8" s="1" t="s">
        <v>41</v>
      </c>
      <c r="B8" s="1" t="s">
        <v>42</v>
      </c>
      <c r="C8" s="1" t="s">
        <v>43</v>
      </c>
      <c r="D8" s="1" t="s">
        <v>44</v>
      </c>
      <c r="E8" s="1" t="s">
        <v>45</v>
      </c>
      <c r="F8" s="1" t="s">
        <v>46</v>
      </c>
      <c r="G8" s="1">
        <v>1</v>
      </c>
      <c r="H8" s="1">
        <v>250000</v>
      </c>
      <c r="I8" s="1">
        <f t="shared" si="0"/>
        <v>250000</v>
      </c>
    </row>
    <row r="9" spans="1:9" x14ac:dyDescent="0.35">
      <c r="A9" s="1" t="s">
        <v>47</v>
      </c>
      <c r="B9" s="1"/>
      <c r="C9" s="1" t="s">
        <v>48</v>
      </c>
      <c r="D9" s="1" t="s">
        <v>49</v>
      </c>
      <c r="E9" s="1" t="s">
        <v>50</v>
      </c>
      <c r="F9" s="1" t="s">
        <v>40</v>
      </c>
      <c r="G9" s="1">
        <v>1</v>
      </c>
      <c r="H9" s="1">
        <v>10000</v>
      </c>
      <c r="I9" s="1">
        <f t="shared" si="0"/>
        <v>10000</v>
      </c>
    </row>
    <row r="10" spans="1:9" x14ac:dyDescent="0.35">
      <c r="A10" s="1" t="s">
        <v>51</v>
      </c>
      <c r="B10" s="1" t="s">
        <v>52</v>
      </c>
      <c r="C10" s="1" t="s">
        <v>53</v>
      </c>
      <c r="D10" s="1" t="s">
        <v>54</v>
      </c>
      <c r="E10" s="1" t="s">
        <v>55</v>
      </c>
      <c r="F10" s="1" t="s">
        <v>19</v>
      </c>
      <c r="G10" s="1">
        <v>1</v>
      </c>
      <c r="H10" s="1">
        <v>250000</v>
      </c>
      <c r="I10" s="1">
        <f t="shared" si="0"/>
        <v>250000</v>
      </c>
    </row>
    <row r="11" spans="1:9" x14ac:dyDescent="0.35">
      <c r="A11" s="1" t="s">
        <v>56</v>
      </c>
      <c r="B11" s="1" t="s">
        <v>57</v>
      </c>
      <c r="C11" s="1" t="s">
        <v>58</v>
      </c>
      <c r="D11" s="1" t="s">
        <v>59</v>
      </c>
      <c r="E11" s="1" t="s">
        <v>50</v>
      </c>
      <c r="F11" s="1" t="s">
        <v>60</v>
      </c>
      <c r="G11" s="1">
        <v>2</v>
      </c>
      <c r="H11" s="1">
        <v>70000</v>
      </c>
      <c r="I11" s="1">
        <f t="shared" si="0"/>
        <v>140000</v>
      </c>
    </row>
    <row r="12" spans="1:9" x14ac:dyDescent="0.35">
      <c r="A12" s="1" t="s">
        <v>61</v>
      </c>
      <c r="B12" s="1" t="s">
        <v>62</v>
      </c>
      <c r="C12" s="1"/>
      <c r="D12" s="1" t="s">
        <v>63</v>
      </c>
      <c r="E12" s="1" t="s">
        <v>64</v>
      </c>
      <c r="F12" s="1" t="s">
        <v>40</v>
      </c>
      <c r="G12" s="1">
        <v>2</v>
      </c>
      <c r="H12" s="1">
        <v>10000</v>
      </c>
      <c r="I12" s="1">
        <f t="shared" si="0"/>
        <v>20000</v>
      </c>
    </row>
    <row r="13" spans="1:9" x14ac:dyDescent="0.35">
      <c r="A13" s="1" t="s">
        <v>65</v>
      </c>
      <c r="B13" s="1" t="s">
        <v>66</v>
      </c>
      <c r="C13" s="1"/>
      <c r="D13" s="1" t="s">
        <v>67</v>
      </c>
      <c r="E13" s="1" t="s">
        <v>68</v>
      </c>
      <c r="F13" s="1" t="s">
        <v>40</v>
      </c>
      <c r="G13" s="1">
        <v>2</v>
      </c>
      <c r="H13" s="1">
        <v>10000</v>
      </c>
      <c r="I13" s="1">
        <f t="shared" si="0"/>
        <v>20000</v>
      </c>
    </row>
    <row r="14" spans="1:9" x14ac:dyDescent="0.35">
      <c r="A14" s="1" t="s">
        <v>69</v>
      </c>
      <c r="B14" s="1" t="s">
        <v>70</v>
      </c>
      <c r="C14" s="1" t="s">
        <v>71</v>
      </c>
      <c r="D14" s="1" t="s">
        <v>38</v>
      </c>
      <c r="E14" s="1" t="s">
        <v>72</v>
      </c>
      <c r="F14" s="1" t="s">
        <v>73</v>
      </c>
      <c r="G14" s="1">
        <v>1</v>
      </c>
      <c r="H14" s="1">
        <v>35000</v>
      </c>
      <c r="I14" s="1">
        <f t="shared" si="0"/>
        <v>35000</v>
      </c>
    </row>
    <row r="15" spans="1:9" x14ac:dyDescent="0.35">
      <c r="A15" s="1" t="s">
        <v>74</v>
      </c>
      <c r="B15" s="1" t="s">
        <v>75</v>
      </c>
      <c r="C15" s="1" t="s">
        <v>76</v>
      </c>
      <c r="D15" s="1" t="s">
        <v>77</v>
      </c>
      <c r="E15" s="1" t="s">
        <v>78</v>
      </c>
      <c r="F15" s="1" t="s">
        <v>79</v>
      </c>
      <c r="G15" s="1">
        <v>1</v>
      </c>
      <c r="H15" s="1">
        <v>35000</v>
      </c>
      <c r="I15" s="1">
        <f t="shared" si="0"/>
        <v>35000</v>
      </c>
    </row>
    <row r="16" spans="1:9" x14ac:dyDescent="0.35">
      <c r="A16" s="1" t="s">
        <v>80</v>
      </c>
      <c r="B16" s="1" t="s">
        <v>81</v>
      </c>
      <c r="C16" s="1" t="s">
        <v>82</v>
      </c>
      <c r="D16" s="1" t="s">
        <v>49</v>
      </c>
      <c r="E16" s="1" t="s">
        <v>83</v>
      </c>
      <c r="F16" s="1" t="s">
        <v>84</v>
      </c>
      <c r="G16" s="1">
        <v>3</v>
      </c>
      <c r="H16" s="1">
        <v>300000</v>
      </c>
      <c r="I16" s="1">
        <f t="shared" si="0"/>
        <v>900000</v>
      </c>
    </row>
    <row r="17" spans="1:9" x14ac:dyDescent="0.35">
      <c r="A17" s="1" t="s">
        <v>85</v>
      </c>
      <c r="B17" s="1" t="s">
        <v>86</v>
      </c>
      <c r="C17" s="1"/>
      <c r="D17" s="1" t="s">
        <v>87</v>
      </c>
      <c r="E17" s="1" t="s">
        <v>88</v>
      </c>
      <c r="F17" s="1" t="s">
        <v>89</v>
      </c>
      <c r="G17" s="1">
        <v>3</v>
      </c>
      <c r="H17" s="1">
        <v>40000</v>
      </c>
      <c r="I17" s="1">
        <f t="shared" si="0"/>
        <v>120000</v>
      </c>
    </row>
    <row r="18" spans="1:9" x14ac:dyDescent="0.35">
      <c r="A18" s="1" t="s">
        <v>90</v>
      </c>
      <c r="B18" s="1" t="s">
        <v>91</v>
      </c>
      <c r="C18" s="1" t="s">
        <v>92</v>
      </c>
      <c r="D18" s="1" t="s">
        <v>93</v>
      </c>
      <c r="E18" s="1" t="s">
        <v>94</v>
      </c>
      <c r="F18" s="1" t="s">
        <v>95</v>
      </c>
      <c r="G18" s="1">
        <v>1</v>
      </c>
      <c r="H18" s="1">
        <v>300000</v>
      </c>
      <c r="I18" s="1">
        <f t="shared" si="0"/>
        <v>300000</v>
      </c>
    </row>
    <row r="19" spans="1:9" x14ac:dyDescent="0.35">
      <c r="A19" s="1" t="s">
        <v>96</v>
      </c>
      <c r="B19" s="1"/>
      <c r="C19" s="1" t="s">
        <v>97</v>
      </c>
      <c r="D19" s="1" t="s">
        <v>93</v>
      </c>
      <c r="E19" s="1" t="s">
        <v>98</v>
      </c>
      <c r="F19" s="1" t="s">
        <v>60</v>
      </c>
      <c r="G19" s="1">
        <v>3</v>
      </c>
      <c r="H19" s="1">
        <v>70000</v>
      </c>
      <c r="I19" s="1">
        <f t="shared" si="0"/>
        <v>210000</v>
      </c>
    </row>
    <row r="20" spans="1:9" x14ac:dyDescent="0.35">
      <c r="A20" s="1" t="s">
        <v>99</v>
      </c>
      <c r="B20" s="1" t="s">
        <v>100</v>
      </c>
      <c r="C20" s="1" t="s">
        <v>101</v>
      </c>
      <c r="D20" s="1" t="s">
        <v>63</v>
      </c>
      <c r="E20" s="1" t="s">
        <v>102</v>
      </c>
      <c r="F20" s="1" t="s">
        <v>103</v>
      </c>
      <c r="G20" s="1">
        <v>3</v>
      </c>
      <c r="H20" s="1">
        <v>70000</v>
      </c>
      <c r="I20" s="1">
        <f t="shared" si="0"/>
        <v>210000</v>
      </c>
    </row>
    <row r="21" spans="1:9" x14ac:dyDescent="0.35">
      <c r="A21" s="1" t="s">
        <v>104</v>
      </c>
      <c r="B21" s="1" t="s">
        <v>105</v>
      </c>
      <c r="C21" s="1" t="s">
        <v>106</v>
      </c>
      <c r="D21" s="1" t="s">
        <v>28</v>
      </c>
      <c r="E21" s="1" t="s">
        <v>107</v>
      </c>
      <c r="F21" s="1" t="s">
        <v>35</v>
      </c>
      <c r="G21" s="1">
        <v>1</v>
      </c>
      <c r="H21" s="1">
        <v>250000</v>
      </c>
      <c r="I21" s="1">
        <f t="shared" si="0"/>
        <v>250000</v>
      </c>
    </row>
    <row r="22" spans="1:9" x14ac:dyDescent="0.35">
      <c r="A22" s="1" t="s">
        <v>108</v>
      </c>
      <c r="B22" s="1" t="s">
        <v>109</v>
      </c>
      <c r="C22" s="1" t="s">
        <v>110</v>
      </c>
      <c r="D22" s="1" t="s">
        <v>59</v>
      </c>
      <c r="E22" s="1" t="s">
        <v>111</v>
      </c>
      <c r="F22" s="1" t="s">
        <v>112</v>
      </c>
      <c r="G22" s="1">
        <v>7</v>
      </c>
      <c r="H22" s="1">
        <v>5000</v>
      </c>
      <c r="I22" s="1">
        <f t="shared" si="0"/>
        <v>35000</v>
      </c>
    </row>
    <row r="23" spans="1:9" x14ac:dyDescent="0.35">
      <c r="A23" s="1" t="s">
        <v>113</v>
      </c>
      <c r="B23" s="1" t="s">
        <v>114</v>
      </c>
      <c r="C23" s="1" t="s">
        <v>115</v>
      </c>
      <c r="D23" s="1" t="s">
        <v>63</v>
      </c>
      <c r="E23" s="1" t="s">
        <v>116</v>
      </c>
      <c r="F23" s="1" t="s">
        <v>117</v>
      </c>
      <c r="G23" s="1">
        <v>4</v>
      </c>
      <c r="H23" s="1">
        <v>70000</v>
      </c>
      <c r="I23" s="1">
        <f t="shared" si="0"/>
        <v>280000</v>
      </c>
    </row>
    <row r="24" spans="1:9" x14ac:dyDescent="0.35">
      <c r="A24" s="1" t="s">
        <v>118</v>
      </c>
      <c r="B24" s="1" t="s">
        <v>119</v>
      </c>
      <c r="C24" s="1" t="s">
        <v>120</v>
      </c>
      <c r="D24" s="1" t="s">
        <v>121</v>
      </c>
      <c r="E24" s="1" t="s">
        <v>122</v>
      </c>
      <c r="F24" s="1" t="s">
        <v>123</v>
      </c>
      <c r="G24" s="1">
        <v>4</v>
      </c>
      <c r="H24" s="1">
        <v>40000</v>
      </c>
      <c r="I24" s="1">
        <f t="shared" si="0"/>
        <v>160000</v>
      </c>
    </row>
    <row r="25" spans="1:9" x14ac:dyDescent="0.35">
      <c r="A25" s="1" t="s">
        <v>124</v>
      </c>
      <c r="B25" s="1" t="s">
        <v>125</v>
      </c>
      <c r="C25" s="1" t="s">
        <v>126</v>
      </c>
      <c r="D25" s="1"/>
      <c r="E25" s="1" t="s">
        <v>127</v>
      </c>
      <c r="F25" s="1" t="s">
        <v>123</v>
      </c>
      <c r="G25" s="1">
        <v>1</v>
      </c>
      <c r="H25" s="1">
        <v>40000</v>
      </c>
      <c r="I25" s="1">
        <f t="shared" si="0"/>
        <v>40000</v>
      </c>
    </row>
    <row r="26" spans="1:9" x14ac:dyDescent="0.35">
      <c r="A26" s="1" t="s">
        <v>128</v>
      </c>
      <c r="B26" s="1" t="s">
        <v>129</v>
      </c>
      <c r="C26" s="1" t="s">
        <v>130</v>
      </c>
      <c r="D26" s="1" t="s">
        <v>59</v>
      </c>
      <c r="E26" s="1" t="s">
        <v>122</v>
      </c>
      <c r="F26" s="1" t="s">
        <v>131</v>
      </c>
      <c r="G26" s="1">
        <v>3</v>
      </c>
      <c r="H26" s="1">
        <v>350000</v>
      </c>
      <c r="I26" s="1">
        <f t="shared" si="0"/>
        <v>1050000</v>
      </c>
    </row>
    <row r="27" spans="1:9" x14ac:dyDescent="0.35">
      <c r="A27" s="1" t="s">
        <v>132</v>
      </c>
      <c r="B27" s="1" t="s">
        <v>133</v>
      </c>
      <c r="C27" s="1" t="s">
        <v>134</v>
      </c>
      <c r="D27" s="1" t="s">
        <v>44</v>
      </c>
      <c r="E27" s="1" t="s">
        <v>107</v>
      </c>
      <c r="F27" s="1" t="s">
        <v>135</v>
      </c>
      <c r="G27" s="1">
        <v>4</v>
      </c>
      <c r="H27" s="1">
        <v>10000</v>
      </c>
      <c r="I27" s="1">
        <f t="shared" si="0"/>
        <v>40000</v>
      </c>
    </row>
    <row r="28" spans="1:9" x14ac:dyDescent="0.35">
      <c r="A28" s="1" t="s">
        <v>136</v>
      </c>
      <c r="B28" s="1" t="s">
        <v>137</v>
      </c>
      <c r="C28" s="1" t="s">
        <v>138</v>
      </c>
      <c r="D28" s="1" t="s">
        <v>139</v>
      </c>
      <c r="E28" s="1" t="s">
        <v>140</v>
      </c>
      <c r="F28" s="1" t="s">
        <v>13</v>
      </c>
      <c r="G28" s="1">
        <v>1</v>
      </c>
      <c r="H28" s="1">
        <v>35000</v>
      </c>
      <c r="I28" s="1">
        <f t="shared" si="0"/>
        <v>35000</v>
      </c>
    </row>
    <row r="29" spans="1:9" x14ac:dyDescent="0.35">
      <c r="A29" s="1" t="s">
        <v>141</v>
      </c>
      <c r="B29" s="1" t="s">
        <v>142</v>
      </c>
      <c r="C29" s="1" t="s">
        <v>143</v>
      </c>
      <c r="D29" s="1" t="s">
        <v>144</v>
      </c>
      <c r="E29" s="1" t="s">
        <v>145</v>
      </c>
      <c r="F29" s="1" t="s">
        <v>146</v>
      </c>
      <c r="G29" s="1">
        <v>3</v>
      </c>
      <c r="H29" s="1">
        <v>350000</v>
      </c>
      <c r="I29" s="1">
        <f t="shared" si="0"/>
        <v>1050000</v>
      </c>
    </row>
    <row r="30" spans="1:9" x14ac:dyDescent="0.35">
      <c r="A30" s="1" t="s">
        <v>147</v>
      </c>
      <c r="B30" s="1" t="s">
        <v>148</v>
      </c>
      <c r="C30" s="1" t="s">
        <v>149</v>
      </c>
      <c r="D30" s="1"/>
      <c r="E30" s="1" t="s">
        <v>150</v>
      </c>
      <c r="F30" s="1" t="s">
        <v>146</v>
      </c>
      <c r="G30" s="1">
        <v>1</v>
      </c>
      <c r="H30" s="1">
        <v>350000</v>
      </c>
      <c r="I30" s="1">
        <f t="shared" si="0"/>
        <v>350000</v>
      </c>
    </row>
    <row r="31" spans="1:9" x14ac:dyDescent="0.35">
      <c r="A31" s="1" t="s">
        <v>151</v>
      </c>
      <c r="B31" s="1" t="s">
        <v>152</v>
      </c>
      <c r="C31" s="1" t="s">
        <v>153</v>
      </c>
      <c r="D31" s="1" t="s">
        <v>154</v>
      </c>
      <c r="E31" s="1" t="s">
        <v>155</v>
      </c>
      <c r="F31" s="1" t="s">
        <v>46</v>
      </c>
      <c r="G31" s="1">
        <v>5</v>
      </c>
      <c r="H31" s="1">
        <v>250000</v>
      </c>
      <c r="I31" s="1">
        <f t="shared" si="0"/>
        <v>1250000</v>
      </c>
    </row>
    <row r="32" spans="1:9" x14ac:dyDescent="0.35">
      <c r="A32" s="1" t="s">
        <v>156</v>
      </c>
      <c r="B32" s="1" t="s">
        <v>157</v>
      </c>
      <c r="C32" s="1" t="s">
        <v>158</v>
      </c>
      <c r="D32" s="1" t="s">
        <v>77</v>
      </c>
      <c r="E32" s="1" t="s">
        <v>155</v>
      </c>
      <c r="F32" s="1" t="s">
        <v>135</v>
      </c>
      <c r="G32" s="1">
        <v>5</v>
      </c>
      <c r="H32" s="1">
        <v>10000</v>
      </c>
      <c r="I32" s="1">
        <f t="shared" si="0"/>
        <v>50000</v>
      </c>
    </row>
    <row r="33" spans="1:9" x14ac:dyDescent="0.35">
      <c r="A33" s="1" t="s">
        <v>159</v>
      </c>
      <c r="B33" s="1" t="s">
        <v>160</v>
      </c>
      <c r="C33" s="1" t="s">
        <v>161</v>
      </c>
      <c r="D33" s="1" t="s">
        <v>154</v>
      </c>
      <c r="E33" s="1" t="s">
        <v>162</v>
      </c>
      <c r="F33" s="1" t="s">
        <v>79</v>
      </c>
      <c r="G33" s="1">
        <v>4</v>
      </c>
      <c r="H33" s="1">
        <v>35000</v>
      </c>
      <c r="I33" s="1">
        <f t="shared" si="0"/>
        <v>140000</v>
      </c>
    </row>
    <row r="34" spans="1:9" x14ac:dyDescent="0.35">
      <c r="A34" s="1" t="s">
        <v>163</v>
      </c>
      <c r="B34" s="1"/>
      <c r="C34" s="1" t="s">
        <v>164</v>
      </c>
      <c r="D34" s="1" t="s">
        <v>139</v>
      </c>
      <c r="E34" s="1" t="s">
        <v>165</v>
      </c>
      <c r="F34" s="1" t="s">
        <v>73</v>
      </c>
      <c r="G34" s="1">
        <v>5</v>
      </c>
      <c r="H34" s="1">
        <v>35000</v>
      </c>
      <c r="I34" s="1">
        <f t="shared" si="0"/>
        <v>175000</v>
      </c>
    </row>
    <row r="35" spans="1:9" x14ac:dyDescent="0.35">
      <c r="A35" s="1" t="s">
        <v>166</v>
      </c>
      <c r="B35" s="1" t="s">
        <v>167</v>
      </c>
      <c r="C35" s="1" t="s">
        <v>168</v>
      </c>
      <c r="D35" s="1" t="s">
        <v>169</v>
      </c>
      <c r="E35" s="1" t="s">
        <v>170</v>
      </c>
      <c r="F35" s="1" t="s">
        <v>171</v>
      </c>
      <c r="G35" s="1">
        <v>4</v>
      </c>
      <c r="H35" s="1">
        <v>350000</v>
      </c>
      <c r="I35" s="1">
        <f t="shared" si="0"/>
        <v>1400000</v>
      </c>
    </row>
    <row r="36" spans="1:9" x14ac:dyDescent="0.35">
      <c r="A36" s="1" t="s">
        <v>172</v>
      </c>
      <c r="B36" s="1" t="s">
        <v>173</v>
      </c>
      <c r="C36" s="1"/>
      <c r="D36" s="1" t="s">
        <v>59</v>
      </c>
      <c r="E36" s="1" t="s">
        <v>174</v>
      </c>
      <c r="F36" s="1" t="s">
        <v>73</v>
      </c>
      <c r="G36" s="1">
        <v>4</v>
      </c>
      <c r="H36" s="1">
        <v>35000</v>
      </c>
      <c r="I36" s="1">
        <f t="shared" si="0"/>
        <v>140000</v>
      </c>
    </row>
    <row r="37" spans="1:9" x14ac:dyDescent="0.35">
      <c r="A37" s="1" t="s">
        <v>163</v>
      </c>
      <c r="B37" s="1"/>
      <c r="C37" s="1" t="s">
        <v>164</v>
      </c>
      <c r="D37" s="1" t="s">
        <v>139</v>
      </c>
      <c r="E37" s="1" t="s">
        <v>165</v>
      </c>
      <c r="F37" s="1" t="s">
        <v>73</v>
      </c>
      <c r="G37" s="1">
        <v>5</v>
      </c>
      <c r="H37" s="1">
        <v>35000</v>
      </c>
      <c r="I37" s="1">
        <f t="shared" si="0"/>
        <v>175000</v>
      </c>
    </row>
    <row r="38" spans="1:9" x14ac:dyDescent="0.35">
      <c r="A38" s="1" t="s">
        <v>175</v>
      </c>
      <c r="B38" s="1" t="s">
        <v>176</v>
      </c>
      <c r="C38" s="1" t="s">
        <v>177</v>
      </c>
      <c r="D38" s="1" t="s">
        <v>178</v>
      </c>
      <c r="E38" s="1" t="s">
        <v>179</v>
      </c>
      <c r="F38" s="1" t="s">
        <v>180</v>
      </c>
      <c r="G38" s="1">
        <v>2</v>
      </c>
      <c r="H38" s="1">
        <v>10000</v>
      </c>
      <c r="I38" s="1">
        <f t="shared" si="0"/>
        <v>20000</v>
      </c>
    </row>
    <row r="39" spans="1:9" x14ac:dyDescent="0.35">
      <c r="A39" s="1" t="s">
        <v>181</v>
      </c>
      <c r="B39" s="1" t="s">
        <v>182</v>
      </c>
      <c r="C39" s="1" t="s">
        <v>183</v>
      </c>
      <c r="D39" s="1"/>
      <c r="E39" s="1" t="s">
        <v>184</v>
      </c>
      <c r="F39" s="1" t="s">
        <v>112</v>
      </c>
      <c r="G39" s="1">
        <v>3</v>
      </c>
      <c r="H39" s="1">
        <v>5000</v>
      </c>
      <c r="I39" s="1">
        <f t="shared" si="0"/>
        <v>15000</v>
      </c>
    </row>
    <row r="40" spans="1:9" x14ac:dyDescent="0.35">
      <c r="A40" s="1" t="s">
        <v>185</v>
      </c>
      <c r="B40" s="1" t="s">
        <v>186</v>
      </c>
      <c r="C40" s="1" t="s">
        <v>187</v>
      </c>
      <c r="D40" s="1" t="s">
        <v>188</v>
      </c>
      <c r="E40" s="1" t="s">
        <v>189</v>
      </c>
      <c r="F40" s="1" t="s">
        <v>95</v>
      </c>
      <c r="G40" s="1">
        <v>1</v>
      </c>
      <c r="H40" s="1">
        <v>300000</v>
      </c>
      <c r="I40" s="1">
        <f t="shared" si="0"/>
        <v>300000</v>
      </c>
    </row>
    <row r="41" spans="1:9" x14ac:dyDescent="0.35">
      <c r="A41" s="1" t="s">
        <v>190</v>
      </c>
      <c r="B41" s="1" t="s">
        <v>191</v>
      </c>
      <c r="C41" s="1"/>
      <c r="D41" s="1" t="s">
        <v>188</v>
      </c>
      <c r="E41" s="1" t="s">
        <v>145</v>
      </c>
      <c r="F41" s="1" t="s">
        <v>84</v>
      </c>
      <c r="G41" s="1">
        <v>4</v>
      </c>
      <c r="H41" s="1">
        <v>300000</v>
      </c>
      <c r="I41" s="1">
        <f t="shared" si="0"/>
        <v>1200000</v>
      </c>
    </row>
    <row r="42" spans="1:9" x14ac:dyDescent="0.35">
      <c r="A42" s="1" t="s">
        <v>192</v>
      </c>
      <c r="B42" s="1" t="s">
        <v>193</v>
      </c>
      <c r="C42" s="1" t="s">
        <v>194</v>
      </c>
      <c r="D42" s="1" t="s">
        <v>195</v>
      </c>
      <c r="E42" s="1" t="s">
        <v>196</v>
      </c>
      <c r="F42" s="1" t="s">
        <v>19</v>
      </c>
      <c r="G42" s="1">
        <v>3</v>
      </c>
      <c r="H42" s="1">
        <v>250000</v>
      </c>
      <c r="I42" s="1">
        <f t="shared" si="0"/>
        <v>750000</v>
      </c>
    </row>
    <row r="43" spans="1:9" x14ac:dyDescent="0.35">
      <c r="A43" s="1" t="s">
        <v>30</v>
      </c>
      <c r="B43" s="1" t="s">
        <v>31</v>
      </c>
      <c r="C43" s="1" t="s">
        <v>32</v>
      </c>
      <c r="D43" s="1" t="s">
        <v>33</v>
      </c>
      <c r="E43" s="1" t="s">
        <v>34</v>
      </c>
      <c r="F43" s="1" t="s">
        <v>35</v>
      </c>
      <c r="G43" s="1">
        <v>3</v>
      </c>
      <c r="H43" s="1">
        <v>250000</v>
      </c>
      <c r="I43" s="1">
        <f t="shared" si="0"/>
        <v>750000</v>
      </c>
    </row>
    <row r="44" spans="1:9" x14ac:dyDescent="0.35">
      <c r="A44" s="1" t="s">
        <v>197</v>
      </c>
      <c r="B44" s="1" t="s">
        <v>198</v>
      </c>
      <c r="C44" s="1" t="s">
        <v>199</v>
      </c>
      <c r="D44" s="1" t="s">
        <v>200</v>
      </c>
      <c r="E44" s="1" t="s">
        <v>29</v>
      </c>
      <c r="F44" s="1" t="s">
        <v>146</v>
      </c>
      <c r="G44" s="1">
        <v>2</v>
      </c>
      <c r="H44" s="1">
        <v>350000</v>
      </c>
      <c r="I44" s="1">
        <f t="shared" si="0"/>
        <v>700000</v>
      </c>
    </row>
    <row r="45" spans="1:9" x14ac:dyDescent="0.35">
      <c r="A45" s="1" t="s">
        <v>201</v>
      </c>
      <c r="B45" s="1" t="s">
        <v>202</v>
      </c>
      <c r="C45" s="1" t="s">
        <v>203</v>
      </c>
      <c r="D45" s="1" t="s">
        <v>204</v>
      </c>
      <c r="E45" s="1" t="s">
        <v>205</v>
      </c>
      <c r="F45" s="1" t="s">
        <v>117</v>
      </c>
      <c r="G45" s="1">
        <v>1</v>
      </c>
      <c r="H45" s="1">
        <v>70000</v>
      </c>
      <c r="I45" s="1">
        <f t="shared" si="0"/>
        <v>70000</v>
      </c>
    </row>
    <row r="46" spans="1:9" x14ac:dyDescent="0.35">
      <c r="A46" s="1" t="s">
        <v>206</v>
      </c>
      <c r="B46" s="1" t="s">
        <v>207</v>
      </c>
      <c r="C46" s="1" t="s">
        <v>208</v>
      </c>
      <c r="D46" s="1" t="s">
        <v>209</v>
      </c>
      <c r="E46" s="1" t="s">
        <v>210</v>
      </c>
      <c r="F46" s="1" t="s">
        <v>73</v>
      </c>
      <c r="G46" s="1">
        <v>5</v>
      </c>
      <c r="H46" s="1">
        <v>35000</v>
      </c>
      <c r="I46" s="1">
        <f t="shared" si="0"/>
        <v>175000</v>
      </c>
    </row>
    <row r="47" spans="1:9" x14ac:dyDescent="0.35">
      <c r="A47" s="1" t="s">
        <v>197</v>
      </c>
      <c r="B47" s="1" t="s">
        <v>211</v>
      </c>
      <c r="C47" s="1" t="s">
        <v>212</v>
      </c>
      <c r="D47" s="1" t="s">
        <v>213</v>
      </c>
      <c r="E47" s="1" t="s">
        <v>107</v>
      </c>
      <c r="F47" s="1" t="s">
        <v>13</v>
      </c>
      <c r="G47" s="1">
        <v>4</v>
      </c>
      <c r="H47" s="1">
        <v>35000</v>
      </c>
      <c r="I47" s="1">
        <f t="shared" si="0"/>
        <v>140000</v>
      </c>
    </row>
    <row r="48" spans="1:9" x14ac:dyDescent="0.35">
      <c r="A48" s="1" t="s">
        <v>214</v>
      </c>
      <c r="B48" s="1" t="s">
        <v>215</v>
      </c>
      <c r="C48" s="1"/>
      <c r="D48" s="1" t="s">
        <v>144</v>
      </c>
      <c r="E48" s="1" t="s">
        <v>216</v>
      </c>
      <c r="F48" s="1" t="s">
        <v>131</v>
      </c>
      <c r="G48" s="1">
        <v>3</v>
      </c>
      <c r="H48" s="1">
        <v>350000</v>
      </c>
      <c r="I48" s="1">
        <f t="shared" si="0"/>
        <v>1050000</v>
      </c>
    </row>
    <row r="49" spans="1:9" x14ac:dyDescent="0.35">
      <c r="A49" s="1" t="s">
        <v>217</v>
      </c>
      <c r="B49" s="1" t="s">
        <v>218</v>
      </c>
      <c r="C49" s="1" t="s">
        <v>219</v>
      </c>
      <c r="D49" s="1"/>
      <c r="E49" s="1" t="s">
        <v>220</v>
      </c>
      <c r="F49" s="1" t="s">
        <v>46</v>
      </c>
      <c r="G49" s="1">
        <v>2</v>
      </c>
      <c r="H49" s="1">
        <v>250000</v>
      </c>
      <c r="I49" s="1">
        <f t="shared" si="0"/>
        <v>500000</v>
      </c>
    </row>
    <row r="50" spans="1:9" x14ac:dyDescent="0.35">
      <c r="A50" s="1" t="s">
        <v>221</v>
      </c>
      <c r="B50" s="1" t="s">
        <v>222</v>
      </c>
      <c r="C50" s="1" t="s">
        <v>223</v>
      </c>
      <c r="D50" s="1" t="s">
        <v>93</v>
      </c>
      <c r="E50" s="1" t="s">
        <v>224</v>
      </c>
      <c r="F50" s="1" t="s">
        <v>40</v>
      </c>
      <c r="G50" s="1">
        <v>5</v>
      </c>
      <c r="H50" s="1">
        <v>10000</v>
      </c>
      <c r="I50" s="1">
        <f t="shared" si="0"/>
        <v>50000</v>
      </c>
    </row>
    <row r="51" spans="1:9" x14ac:dyDescent="0.35">
      <c r="A51" s="1" t="s">
        <v>225</v>
      </c>
      <c r="B51" s="1" t="s">
        <v>226</v>
      </c>
      <c r="C51" s="1" t="s">
        <v>227</v>
      </c>
      <c r="D51" s="1" t="s">
        <v>228</v>
      </c>
      <c r="E51" s="1" t="s">
        <v>229</v>
      </c>
      <c r="F51" s="1" t="s">
        <v>13</v>
      </c>
      <c r="G51" s="1">
        <v>5</v>
      </c>
      <c r="H51" s="1">
        <v>35000</v>
      </c>
      <c r="I51" s="1">
        <f t="shared" si="0"/>
        <v>175000</v>
      </c>
    </row>
    <row r="52" spans="1:9" x14ac:dyDescent="0.35">
      <c r="A52" s="1" t="s">
        <v>230</v>
      </c>
      <c r="B52" s="1" t="s">
        <v>231</v>
      </c>
      <c r="C52" s="1" t="s">
        <v>232</v>
      </c>
      <c r="D52" s="1" t="s">
        <v>233</v>
      </c>
      <c r="E52" s="1" t="s">
        <v>210</v>
      </c>
      <c r="F52" s="1" t="s">
        <v>112</v>
      </c>
      <c r="G52" s="1">
        <v>4</v>
      </c>
      <c r="H52" s="1">
        <v>5000</v>
      </c>
      <c r="I52" s="1">
        <f t="shared" si="0"/>
        <v>20000</v>
      </c>
    </row>
    <row r="53" spans="1:9" x14ac:dyDescent="0.35">
      <c r="A53" s="1" t="s">
        <v>234</v>
      </c>
      <c r="B53" s="1" t="s">
        <v>235</v>
      </c>
      <c r="C53" s="1" t="s">
        <v>236</v>
      </c>
      <c r="D53" s="1" t="s">
        <v>228</v>
      </c>
      <c r="E53" s="1" t="s">
        <v>237</v>
      </c>
      <c r="F53" s="1" t="s">
        <v>89</v>
      </c>
      <c r="G53" s="1">
        <v>5</v>
      </c>
      <c r="H53" s="1">
        <v>40000</v>
      </c>
      <c r="I53" s="1">
        <f t="shared" si="0"/>
        <v>200000</v>
      </c>
    </row>
    <row r="54" spans="1:9" x14ac:dyDescent="0.35">
      <c r="A54" s="1" t="s">
        <v>238</v>
      </c>
      <c r="B54" s="1" t="s">
        <v>239</v>
      </c>
      <c r="C54" s="1" t="s">
        <v>240</v>
      </c>
      <c r="D54" s="1"/>
      <c r="E54" s="1" t="s">
        <v>241</v>
      </c>
      <c r="F54" s="1" t="s">
        <v>19</v>
      </c>
      <c r="G54" s="1">
        <v>4</v>
      </c>
      <c r="H54" s="1">
        <v>250000</v>
      </c>
      <c r="I54" s="1">
        <f t="shared" si="0"/>
        <v>1000000</v>
      </c>
    </row>
    <row r="55" spans="1:9" x14ac:dyDescent="0.35">
      <c r="A55" s="1" t="s">
        <v>242</v>
      </c>
      <c r="B55" s="1" t="s">
        <v>243</v>
      </c>
      <c r="C55" s="1" t="s">
        <v>244</v>
      </c>
      <c r="D55" s="1" t="s">
        <v>245</v>
      </c>
      <c r="E55" s="1" t="s">
        <v>246</v>
      </c>
      <c r="F55" s="1" t="s">
        <v>79</v>
      </c>
      <c r="G55" s="1">
        <v>4</v>
      </c>
      <c r="H55" s="1">
        <v>35000</v>
      </c>
      <c r="I55" s="1">
        <f t="shared" si="0"/>
        <v>140000</v>
      </c>
    </row>
    <row r="56" spans="1:9" x14ac:dyDescent="0.35">
      <c r="A56" s="1" t="s">
        <v>247</v>
      </c>
      <c r="B56" s="1"/>
      <c r="C56" s="1" t="s">
        <v>248</v>
      </c>
      <c r="D56" s="1" t="s">
        <v>249</v>
      </c>
      <c r="E56" s="1" t="s">
        <v>250</v>
      </c>
      <c r="F56" s="1" t="s">
        <v>84</v>
      </c>
      <c r="G56" s="1">
        <v>5</v>
      </c>
      <c r="H56" s="1">
        <v>300000</v>
      </c>
      <c r="I56" s="1">
        <f t="shared" si="0"/>
        <v>1500000</v>
      </c>
    </row>
    <row r="57" spans="1:9" x14ac:dyDescent="0.35">
      <c r="A57" s="1" t="s">
        <v>251</v>
      </c>
      <c r="B57" s="1" t="s">
        <v>252</v>
      </c>
      <c r="C57" s="1" t="s">
        <v>253</v>
      </c>
      <c r="D57" s="1" t="s">
        <v>67</v>
      </c>
      <c r="E57" s="1" t="s">
        <v>254</v>
      </c>
      <c r="F57" s="1" t="s">
        <v>255</v>
      </c>
      <c r="G57" s="1">
        <v>3</v>
      </c>
      <c r="H57" s="1">
        <v>5000</v>
      </c>
      <c r="I57" s="1">
        <f t="shared" si="0"/>
        <v>15000</v>
      </c>
    </row>
    <row r="58" spans="1:9" x14ac:dyDescent="0.35">
      <c r="A58" s="1" t="s">
        <v>256</v>
      </c>
      <c r="B58" s="1" t="s">
        <v>257</v>
      </c>
      <c r="C58" s="1" t="s">
        <v>258</v>
      </c>
      <c r="D58" s="1" t="s">
        <v>17</v>
      </c>
      <c r="E58" s="1" t="s">
        <v>259</v>
      </c>
      <c r="F58" s="1" t="s">
        <v>180</v>
      </c>
      <c r="G58" s="1">
        <v>2</v>
      </c>
      <c r="H58" s="1">
        <v>10000</v>
      </c>
      <c r="I58" s="1">
        <f t="shared" si="0"/>
        <v>20000</v>
      </c>
    </row>
    <row r="59" spans="1:9" x14ac:dyDescent="0.35">
      <c r="A59" s="1" t="s">
        <v>260</v>
      </c>
      <c r="B59" s="1" t="s">
        <v>261</v>
      </c>
      <c r="C59" s="1" t="s">
        <v>262</v>
      </c>
      <c r="D59" s="1" t="s">
        <v>188</v>
      </c>
      <c r="E59" s="1" t="s">
        <v>263</v>
      </c>
      <c r="F59" s="1" t="s">
        <v>73</v>
      </c>
      <c r="G59" s="1">
        <v>5</v>
      </c>
      <c r="H59" s="1">
        <v>35000</v>
      </c>
      <c r="I59" s="1">
        <f t="shared" si="0"/>
        <v>175000</v>
      </c>
    </row>
    <row r="60" spans="1:9" x14ac:dyDescent="0.35">
      <c r="A60" s="1" t="s">
        <v>264</v>
      </c>
      <c r="B60" s="1" t="s">
        <v>265</v>
      </c>
      <c r="C60" s="1" t="s">
        <v>266</v>
      </c>
      <c r="D60" s="1" t="s">
        <v>267</v>
      </c>
      <c r="E60" s="1" t="s">
        <v>268</v>
      </c>
      <c r="F60" s="1" t="s">
        <v>46</v>
      </c>
      <c r="G60" s="1">
        <v>3</v>
      </c>
      <c r="H60" s="1">
        <v>250000</v>
      </c>
      <c r="I60" s="1">
        <f t="shared" si="0"/>
        <v>750000</v>
      </c>
    </row>
    <row r="61" spans="1:9" x14ac:dyDescent="0.35">
      <c r="A61" s="1" t="s">
        <v>269</v>
      </c>
      <c r="B61" s="1" t="s">
        <v>270</v>
      </c>
      <c r="C61" s="1" t="s">
        <v>271</v>
      </c>
      <c r="D61" s="1" t="s">
        <v>272</v>
      </c>
      <c r="E61" s="1" t="s">
        <v>273</v>
      </c>
      <c r="F61" s="1" t="s">
        <v>19</v>
      </c>
      <c r="G61" s="1">
        <v>1</v>
      </c>
      <c r="H61" s="1">
        <v>250000</v>
      </c>
      <c r="I61" s="1">
        <f t="shared" si="0"/>
        <v>250000</v>
      </c>
    </row>
    <row r="62" spans="1:9" x14ac:dyDescent="0.35">
      <c r="A62" s="1" t="s">
        <v>274</v>
      </c>
      <c r="B62" s="1" t="s">
        <v>275</v>
      </c>
      <c r="C62" s="1" t="s">
        <v>276</v>
      </c>
      <c r="D62" s="1" t="s">
        <v>169</v>
      </c>
      <c r="E62" s="1" t="s">
        <v>184</v>
      </c>
      <c r="F62" s="1" t="s">
        <v>146</v>
      </c>
      <c r="G62" s="1">
        <v>2</v>
      </c>
      <c r="H62" s="1">
        <v>350000</v>
      </c>
      <c r="I62" s="1">
        <f t="shared" si="0"/>
        <v>700000</v>
      </c>
    </row>
    <row r="63" spans="1:9" x14ac:dyDescent="0.35">
      <c r="A63" s="1" t="s">
        <v>277</v>
      </c>
      <c r="B63" s="1" t="s">
        <v>278</v>
      </c>
      <c r="C63" s="1" t="s">
        <v>279</v>
      </c>
      <c r="D63" s="1" t="s">
        <v>280</v>
      </c>
      <c r="E63" s="1" t="s">
        <v>281</v>
      </c>
      <c r="F63" s="1" t="s">
        <v>131</v>
      </c>
      <c r="G63" s="1">
        <v>1</v>
      </c>
      <c r="H63" s="1">
        <v>350000</v>
      </c>
      <c r="I63" s="1">
        <f t="shared" si="0"/>
        <v>350000</v>
      </c>
    </row>
    <row r="64" spans="1:9" x14ac:dyDescent="0.35">
      <c r="A64" s="1" t="s">
        <v>282</v>
      </c>
      <c r="B64" s="1" t="s">
        <v>283</v>
      </c>
      <c r="C64" s="1" t="s">
        <v>284</v>
      </c>
      <c r="D64" s="1" t="s">
        <v>139</v>
      </c>
      <c r="E64" s="1" t="s">
        <v>205</v>
      </c>
      <c r="F64" s="1" t="s">
        <v>60</v>
      </c>
      <c r="G64" s="1">
        <v>4</v>
      </c>
      <c r="H64" s="1">
        <v>70000</v>
      </c>
      <c r="I64" s="1">
        <f t="shared" si="0"/>
        <v>280000</v>
      </c>
    </row>
    <row r="65" spans="1:9" x14ac:dyDescent="0.35">
      <c r="A65" s="1" t="s">
        <v>285</v>
      </c>
      <c r="B65" s="1" t="s">
        <v>286</v>
      </c>
      <c r="C65" s="1" t="s">
        <v>287</v>
      </c>
      <c r="D65" s="1" t="s">
        <v>213</v>
      </c>
      <c r="E65" s="1" t="s">
        <v>288</v>
      </c>
      <c r="F65" s="1" t="s">
        <v>171</v>
      </c>
      <c r="G65" s="1">
        <v>2</v>
      </c>
      <c r="H65" s="1">
        <v>350000</v>
      </c>
      <c r="I65" s="1">
        <f t="shared" si="0"/>
        <v>700000</v>
      </c>
    </row>
    <row r="66" spans="1:9" x14ac:dyDescent="0.35">
      <c r="A66" s="1" t="s">
        <v>289</v>
      </c>
      <c r="B66" s="1" t="s">
        <v>290</v>
      </c>
      <c r="C66" s="1" t="s">
        <v>291</v>
      </c>
      <c r="D66" s="1" t="s">
        <v>200</v>
      </c>
      <c r="E66" s="1" t="s">
        <v>292</v>
      </c>
      <c r="F66" s="1" t="s">
        <v>103</v>
      </c>
      <c r="G66" s="1">
        <v>3</v>
      </c>
      <c r="H66" s="1">
        <v>70000</v>
      </c>
      <c r="I66" s="1">
        <f t="shared" si="0"/>
        <v>210000</v>
      </c>
    </row>
    <row r="67" spans="1:9" x14ac:dyDescent="0.35">
      <c r="A67" s="1" t="s">
        <v>293</v>
      </c>
      <c r="B67" s="1" t="s">
        <v>294</v>
      </c>
      <c r="C67" s="1" t="s">
        <v>295</v>
      </c>
      <c r="D67" s="1" t="s">
        <v>296</v>
      </c>
      <c r="E67" s="1" t="s">
        <v>297</v>
      </c>
      <c r="F67" s="1" t="s">
        <v>131</v>
      </c>
      <c r="G67" s="1">
        <v>5</v>
      </c>
      <c r="H67" s="1">
        <v>350000</v>
      </c>
      <c r="I67" s="1">
        <f t="shared" si="0"/>
        <v>1750000</v>
      </c>
    </row>
    <row r="68" spans="1:9" x14ac:dyDescent="0.35">
      <c r="A68" s="1" t="s">
        <v>298</v>
      </c>
      <c r="B68" s="1" t="s">
        <v>299</v>
      </c>
      <c r="C68" s="1" t="s">
        <v>300</v>
      </c>
      <c r="D68" s="1" t="s">
        <v>59</v>
      </c>
      <c r="E68" s="1" t="s">
        <v>301</v>
      </c>
      <c r="F68" s="1" t="s">
        <v>89</v>
      </c>
      <c r="G68" s="1">
        <v>5</v>
      </c>
      <c r="H68" s="1">
        <v>40000</v>
      </c>
      <c r="I68" s="1">
        <f t="shared" ref="I68:I114" si="1">H68*G68</f>
        <v>200000</v>
      </c>
    </row>
    <row r="69" spans="1:9" x14ac:dyDescent="0.35">
      <c r="A69" s="1" t="s">
        <v>302</v>
      </c>
      <c r="B69" s="1" t="s">
        <v>303</v>
      </c>
      <c r="C69" s="1" t="s">
        <v>304</v>
      </c>
      <c r="D69" s="1" t="s">
        <v>169</v>
      </c>
      <c r="E69" s="1" t="s">
        <v>305</v>
      </c>
      <c r="F69" s="1" t="s">
        <v>103</v>
      </c>
      <c r="G69" s="1">
        <v>9</v>
      </c>
      <c r="H69" s="1">
        <v>70000</v>
      </c>
      <c r="I69" s="1">
        <f t="shared" si="1"/>
        <v>630000</v>
      </c>
    </row>
    <row r="70" spans="1:9" x14ac:dyDescent="0.35">
      <c r="A70" s="1" t="s">
        <v>306</v>
      </c>
      <c r="B70" s="1" t="s">
        <v>307</v>
      </c>
      <c r="C70" s="1" t="s">
        <v>308</v>
      </c>
      <c r="D70" s="1" t="s">
        <v>309</v>
      </c>
      <c r="E70" s="1" t="s">
        <v>310</v>
      </c>
      <c r="F70" s="1" t="s">
        <v>180</v>
      </c>
      <c r="G70" s="1">
        <v>4</v>
      </c>
      <c r="H70" s="1">
        <v>10000</v>
      </c>
      <c r="I70" s="1">
        <f t="shared" si="1"/>
        <v>40000</v>
      </c>
    </row>
    <row r="71" spans="1:9" x14ac:dyDescent="0.35">
      <c r="A71" s="1" t="s">
        <v>311</v>
      </c>
      <c r="B71" s="1" t="s">
        <v>312</v>
      </c>
      <c r="C71" s="1" t="s">
        <v>313</v>
      </c>
      <c r="D71" s="1" t="s">
        <v>213</v>
      </c>
      <c r="E71" s="1" t="s">
        <v>88</v>
      </c>
      <c r="F71" s="1" t="s">
        <v>171</v>
      </c>
      <c r="G71" s="1">
        <v>8</v>
      </c>
      <c r="H71" s="1">
        <v>350000</v>
      </c>
      <c r="I71" s="1">
        <f t="shared" si="1"/>
        <v>2800000</v>
      </c>
    </row>
    <row r="72" spans="1:9" x14ac:dyDescent="0.35">
      <c r="A72" s="1" t="s">
        <v>314</v>
      </c>
      <c r="B72" s="1" t="s">
        <v>315</v>
      </c>
      <c r="C72" s="1" t="s">
        <v>316</v>
      </c>
      <c r="D72" s="1" t="s">
        <v>317</v>
      </c>
      <c r="E72" s="1" t="s">
        <v>64</v>
      </c>
      <c r="F72" s="1" t="s">
        <v>95</v>
      </c>
      <c r="G72" s="1">
        <v>2</v>
      </c>
      <c r="H72" s="1">
        <v>300000</v>
      </c>
      <c r="I72" s="1">
        <f t="shared" si="1"/>
        <v>600000</v>
      </c>
    </row>
    <row r="73" spans="1:9" x14ac:dyDescent="0.35">
      <c r="A73" s="1" t="s">
        <v>318</v>
      </c>
      <c r="B73" s="1" t="s">
        <v>319</v>
      </c>
      <c r="C73" s="1" t="s">
        <v>320</v>
      </c>
      <c r="D73" s="1" t="s">
        <v>321</v>
      </c>
      <c r="E73" s="1" t="s">
        <v>174</v>
      </c>
      <c r="F73" s="1" t="s">
        <v>73</v>
      </c>
      <c r="G73" s="1">
        <v>2</v>
      </c>
      <c r="H73" s="1">
        <v>35000</v>
      </c>
      <c r="I73" s="1">
        <f t="shared" si="1"/>
        <v>70000</v>
      </c>
    </row>
    <row r="74" spans="1:9" x14ac:dyDescent="0.35">
      <c r="A74" s="1" t="s">
        <v>322</v>
      </c>
      <c r="B74" s="1" t="s">
        <v>323</v>
      </c>
      <c r="C74" s="1" t="s">
        <v>324</v>
      </c>
      <c r="D74" s="1" t="s">
        <v>325</v>
      </c>
      <c r="E74" s="1" t="s">
        <v>326</v>
      </c>
      <c r="F74" s="1" t="s">
        <v>73</v>
      </c>
      <c r="G74" s="1">
        <v>2</v>
      </c>
      <c r="H74" s="1">
        <v>35000</v>
      </c>
      <c r="I74" s="1">
        <f t="shared" si="1"/>
        <v>70000</v>
      </c>
    </row>
    <row r="75" spans="1:9" x14ac:dyDescent="0.35">
      <c r="A75" s="1" t="s">
        <v>327</v>
      </c>
      <c r="B75" s="1" t="s">
        <v>328</v>
      </c>
      <c r="C75" s="1" t="s">
        <v>329</v>
      </c>
      <c r="D75" s="1" t="s">
        <v>309</v>
      </c>
      <c r="E75" s="1" t="s">
        <v>330</v>
      </c>
      <c r="F75" s="1" t="s">
        <v>180</v>
      </c>
      <c r="G75" s="1">
        <v>5</v>
      </c>
      <c r="H75" s="1">
        <v>10000</v>
      </c>
      <c r="I75" s="1">
        <f t="shared" si="1"/>
        <v>50000</v>
      </c>
    </row>
    <row r="76" spans="1:9" x14ac:dyDescent="0.35">
      <c r="A76" s="1" t="s">
        <v>264</v>
      </c>
      <c r="B76" s="1" t="s">
        <v>265</v>
      </c>
      <c r="C76" s="1" t="s">
        <v>266</v>
      </c>
      <c r="D76" s="1" t="s">
        <v>267</v>
      </c>
      <c r="E76" s="1" t="s">
        <v>268</v>
      </c>
      <c r="F76" s="1" t="s">
        <v>46</v>
      </c>
      <c r="G76" s="1">
        <v>3</v>
      </c>
      <c r="H76" s="1">
        <v>250000</v>
      </c>
      <c r="I76" s="1">
        <f t="shared" si="1"/>
        <v>750000</v>
      </c>
    </row>
    <row r="77" spans="1:9" x14ac:dyDescent="0.35">
      <c r="A77" s="1" t="s">
        <v>331</v>
      </c>
      <c r="B77" s="1" t="s">
        <v>332</v>
      </c>
      <c r="C77" s="1" t="s">
        <v>333</v>
      </c>
      <c r="D77" s="1" t="s">
        <v>204</v>
      </c>
      <c r="E77" s="1" t="s">
        <v>334</v>
      </c>
      <c r="F77" s="1" t="s">
        <v>25</v>
      </c>
      <c r="G77" s="1">
        <v>4</v>
      </c>
      <c r="H77" s="1">
        <v>5000</v>
      </c>
      <c r="I77" s="1">
        <f t="shared" si="1"/>
        <v>20000</v>
      </c>
    </row>
    <row r="78" spans="1:9" x14ac:dyDescent="0.35">
      <c r="A78" s="1" t="s">
        <v>335</v>
      </c>
      <c r="B78" s="1" t="s">
        <v>336</v>
      </c>
      <c r="C78" s="1" t="s">
        <v>337</v>
      </c>
      <c r="D78" s="1" t="s">
        <v>325</v>
      </c>
      <c r="E78" s="1" t="s">
        <v>155</v>
      </c>
      <c r="F78" s="1" t="s">
        <v>46</v>
      </c>
      <c r="G78" s="1">
        <v>5</v>
      </c>
      <c r="H78" s="1">
        <v>250000</v>
      </c>
      <c r="I78" s="1">
        <f t="shared" si="1"/>
        <v>1250000</v>
      </c>
    </row>
    <row r="79" spans="1:9" x14ac:dyDescent="0.35">
      <c r="A79" s="1" t="s">
        <v>311</v>
      </c>
      <c r="B79" s="1" t="s">
        <v>312</v>
      </c>
      <c r="C79" s="1" t="s">
        <v>313</v>
      </c>
      <c r="D79" s="1" t="s">
        <v>213</v>
      </c>
      <c r="E79" s="1" t="s">
        <v>88</v>
      </c>
      <c r="F79" s="1" t="s">
        <v>171</v>
      </c>
      <c r="G79" s="1">
        <v>8</v>
      </c>
      <c r="H79" s="1">
        <v>350000</v>
      </c>
      <c r="I79" s="1">
        <f t="shared" si="1"/>
        <v>2800000</v>
      </c>
    </row>
    <row r="80" spans="1:9" x14ac:dyDescent="0.35">
      <c r="A80" s="1" t="s">
        <v>338</v>
      </c>
      <c r="B80" s="1" t="s">
        <v>339</v>
      </c>
      <c r="C80" s="1" t="s">
        <v>340</v>
      </c>
      <c r="D80" s="1" t="s">
        <v>188</v>
      </c>
      <c r="E80" s="1" t="s">
        <v>341</v>
      </c>
      <c r="F80" s="1" t="s">
        <v>342</v>
      </c>
      <c r="G80" s="1">
        <v>3</v>
      </c>
      <c r="H80" s="1">
        <v>40000</v>
      </c>
      <c r="I80" s="1">
        <f t="shared" si="1"/>
        <v>120000</v>
      </c>
    </row>
    <row r="81" spans="1:9" x14ac:dyDescent="0.35">
      <c r="A81" s="1" t="s">
        <v>343</v>
      </c>
      <c r="B81" s="1" t="s">
        <v>344</v>
      </c>
      <c r="C81" s="1" t="s">
        <v>345</v>
      </c>
      <c r="D81" s="1" t="s">
        <v>195</v>
      </c>
      <c r="E81" s="1" t="s">
        <v>346</v>
      </c>
      <c r="F81" s="1" t="s">
        <v>347</v>
      </c>
      <c r="G81" s="1">
        <v>3</v>
      </c>
      <c r="H81" s="1">
        <v>300000</v>
      </c>
      <c r="I81" s="1">
        <f t="shared" si="1"/>
        <v>900000</v>
      </c>
    </row>
    <row r="82" spans="1:9" x14ac:dyDescent="0.35">
      <c r="A82" s="1" t="s">
        <v>348</v>
      </c>
      <c r="B82" s="1" t="s">
        <v>349</v>
      </c>
      <c r="C82" s="1" t="s">
        <v>350</v>
      </c>
      <c r="D82" s="1" t="s">
        <v>121</v>
      </c>
      <c r="E82" s="1" t="s">
        <v>351</v>
      </c>
      <c r="F82" s="1" t="s">
        <v>79</v>
      </c>
      <c r="G82" s="1">
        <v>2</v>
      </c>
      <c r="H82" s="1">
        <v>35000</v>
      </c>
      <c r="I82" s="1">
        <f t="shared" si="1"/>
        <v>70000</v>
      </c>
    </row>
    <row r="83" spans="1:9" x14ac:dyDescent="0.35">
      <c r="A83" s="1" t="s">
        <v>352</v>
      </c>
      <c r="B83" s="1" t="s">
        <v>353</v>
      </c>
      <c r="C83" s="1" t="s">
        <v>354</v>
      </c>
      <c r="D83" s="1" t="s">
        <v>355</v>
      </c>
      <c r="E83" s="1" t="s">
        <v>356</v>
      </c>
      <c r="F83" s="1" t="s">
        <v>180</v>
      </c>
      <c r="G83" s="1">
        <v>4</v>
      </c>
      <c r="H83" s="1">
        <v>10000</v>
      </c>
      <c r="I83" s="1">
        <f t="shared" si="1"/>
        <v>40000</v>
      </c>
    </row>
    <row r="84" spans="1:9" x14ac:dyDescent="0.35">
      <c r="A84" s="1" t="s">
        <v>357</v>
      </c>
      <c r="B84" s="1" t="s">
        <v>358</v>
      </c>
      <c r="C84" s="1" t="s">
        <v>359</v>
      </c>
      <c r="D84" s="1" t="s">
        <v>360</v>
      </c>
      <c r="E84" s="1" t="s">
        <v>361</v>
      </c>
      <c r="F84" s="1" t="s">
        <v>117</v>
      </c>
      <c r="G84" s="1">
        <v>4</v>
      </c>
      <c r="H84" s="1">
        <v>70000</v>
      </c>
      <c r="I84" s="1">
        <f t="shared" si="1"/>
        <v>280000</v>
      </c>
    </row>
    <row r="85" spans="1:9" x14ac:dyDescent="0.35">
      <c r="A85" s="1" t="s">
        <v>362</v>
      </c>
      <c r="B85" s="1" t="s">
        <v>363</v>
      </c>
      <c r="C85" s="1" t="s">
        <v>364</v>
      </c>
      <c r="D85" s="1" t="s">
        <v>355</v>
      </c>
      <c r="E85" s="1" t="s">
        <v>254</v>
      </c>
      <c r="F85" s="1" t="s">
        <v>255</v>
      </c>
      <c r="G85" s="1">
        <v>1</v>
      </c>
      <c r="H85" s="1">
        <v>5000</v>
      </c>
      <c r="I85" s="1">
        <f t="shared" si="1"/>
        <v>5000</v>
      </c>
    </row>
    <row r="86" spans="1:9" x14ac:dyDescent="0.35">
      <c r="A86" s="1" t="s">
        <v>365</v>
      </c>
      <c r="B86" s="1" t="s">
        <v>366</v>
      </c>
      <c r="C86" s="1" t="s">
        <v>367</v>
      </c>
      <c r="D86" s="1" t="s">
        <v>154</v>
      </c>
      <c r="E86" s="1" t="s">
        <v>368</v>
      </c>
      <c r="F86" s="1" t="s">
        <v>73</v>
      </c>
      <c r="G86" s="1">
        <v>5</v>
      </c>
      <c r="H86" s="1">
        <v>35000</v>
      </c>
      <c r="I86" s="1">
        <f t="shared" si="1"/>
        <v>175000</v>
      </c>
    </row>
    <row r="87" spans="1:9" x14ac:dyDescent="0.35">
      <c r="A87" s="1" t="s">
        <v>369</v>
      </c>
      <c r="B87" s="1" t="s">
        <v>370</v>
      </c>
      <c r="C87" s="1" t="s">
        <v>371</v>
      </c>
      <c r="D87" s="1" t="s">
        <v>204</v>
      </c>
      <c r="E87" s="1" t="s">
        <v>372</v>
      </c>
      <c r="F87" s="1" t="s">
        <v>112</v>
      </c>
      <c r="G87" s="1">
        <v>3</v>
      </c>
      <c r="H87" s="1">
        <v>5000</v>
      </c>
      <c r="I87" s="1">
        <f t="shared" si="1"/>
        <v>15000</v>
      </c>
    </row>
    <row r="88" spans="1:9" x14ac:dyDescent="0.35">
      <c r="A88" s="1" t="s">
        <v>373</v>
      </c>
      <c r="B88" s="1" t="s">
        <v>374</v>
      </c>
      <c r="C88" s="1" t="s">
        <v>375</v>
      </c>
      <c r="D88" s="1" t="s">
        <v>28</v>
      </c>
      <c r="E88" s="1" t="s">
        <v>376</v>
      </c>
      <c r="F88" s="1" t="s">
        <v>73</v>
      </c>
      <c r="G88" s="1">
        <v>3</v>
      </c>
      <c r="H88" s="1">
        <v>35000</v>
      </c>
      <c r="I88" s="1">
        <f t="shared" si="1"/>
        <v>105000</v>
      </c>
    </row>
    <row r="89" spans="1:9" x14ac:dyDescent="0.35">
      <c r="A89" s="1" t="s">
        <v>377</v>
      </c>
      <c r="B89" s="1" t="s">
        <v>378</v>
      </c>
      <c r="C89" s="1" t="s">
        <v>379</v>
      </c>
      <c r="D89" s="1" t="s">
        <v>321</v>
      </c>
      <c r="E89" s="1" t="s">
        <v>380</v>
      </c>
      <c r="F89" s="1" t="s">
        <v>171</v>
      </c>
      <c r="G89" s="1">
        <v>4</v>
      </c>
      <c r="H89" s="1">
        <v>350000</v>
      </c>
      <c r="I89" s="1">
        <f t="shared" si="1"/>
        <v>1400000</v>
      </c>
    </row>
    <row r="90" spans="1:9" x14ac:dyDescent="0.35">
      <c r="A90" s="1" t="s">
        <v>381</v>
      </c>
      <c r="B90" s="1" t="s">
        <v>382</v>
      </c>
      <c r="C90" s="1" t="s">
        <v>383</v>
      </c>
      <c r="D90" s="1" t="s">
        <v>144</v>
      </c>
      <c r="E90" s="1" t="s">
        <v>384</v>
      </c>
      <c r="F90" s="1" t="s">
        <v>19</v>
      </c>
      <c r="G90" s="1">
        <v>1</v>
      </c>
      <c r="H90" s="1">
        <v>250000</v>
      </c>
      <c r="I90" s="1">
        <f t="shared" si="1"/>
        <v>250000</v>
      </c>
    </row>
    <row r="91" spans="1:9" x14ac:dyDescent="0.35">
      <c r="A91" s="1" t="s">
        <v>277</v>
      </c>
      <c r="B91" s="1" t="s">
        <v>278</v>
      </c>
      <c r="C91" s="1" t="s">
        <v>279</v>
      </c>
      <c r="D91" s="1" t="s">
        <v>280</v>
      </c>
      <c r="E91" s="1" t="s">
        <v>281</v>
      </c>
      <c r="F91" s="1" t="s">
        <v>131</v>
      </c>
      <c r="G91" s="1">
        <v>1</v>
      </c>
      <c r="H91" s="1">
        <v>350000</v>
      </c>
      <c r="I91" s="1">
        <f t="shared" si="1"/>
        <v>350000</v>
      </c>
    </row>
    <row r="92" spans="1:9" x14ac:dyDescent="0.35">
      <c r="A92" s="1" t="s">
        <v>385</v>
      </c>
      <c r="B92" s="1" t="s">
        <v>386</v>
      </c>
      <c r="C92" s="1" t="s">
        <v>387</v>
      </c>
      <c r="D92" s="1" t="s">
        <v>144</v>
      </c>
      <c r="E92" s="1" t="s">
        <v>388</v>
      </c>
      <c r="F92" s="1" t="s">
        <v>95</v>
      </c>
      <c r="G92" s="1">
        <v>1</v>
      </c>
      <c r="H92" s="1">
        <v>300000</v>
      </c>
      <c r="I92" s="1">
        <f t="shared" si="1"/>
        <v>300000</v>
      </c>
    </row>
    <row r="93" spans="1:9" x14ac:dyDescent="0.35">
      <c r="A93" s="1" t="s">
        <v>389</v>
      </c>
      <c r="B93" s="1" t="s">
        <v>390</v>
      </c>
      <c r="C93" s="1" t="s">
        <v>391</v>
      </c>
      <c r="D93" s="1" t="s">
        <v>392</v>
      </c>
      <c r="E93" s="1" t="s">
        <v>393</v>
      </c>
      <c r="F93" s="1" t="s">
        <v>84</v>
      </c>
      <c r="G93" s="1">
        <v>5</v>
      </c>
      <c r="H93" s="1">
        <v>300000</v>
      </c>
      <c r="I93" s="1">
        <f t="shared" si="1"/>
        <v>1500000</v>
      </c>
    </row>
    <row r="94" spans="1:9" x14ac:dyDescent="0.35">
      <c r="A94" s="1" t="s">
        <v>394</v>
      </c>
      <c r="B94" s="1" t="s">
        <v>395</v>
      </c>
      <c r="C94" s="1" t="s">
        <v>396</v>
      </c>
      <c r="D94" s="1" t="s">
        <v>296</v>
      </c>
      <c r="E94" s="1" t="s">
        <v>397</v>
      </c>
      <c r="F94" s="1" t="s">
        <v>84</v>
      </c>
      <c r="G94" s="1">
        <v>5</v>
      </c>
      <c r="H94" s="1">
        <v>300000</v>
      </c>
      <c r="I94" s="1">
        <f t="shared" si="1"/>
        <v>1500000</v>
      </c>
    </row>
    <row r="95" spans="1:9" x14ac:dyDescent="0.35">
      <c r="A95" s="1" t="s">
        <v>398</v>
      </c>
      <c r="B95" s="1" t="s">
        <v>399</v>
      </c>
      <c r="C95" s="1" t="s">
        <v>400</v>
      </c>
      <c r="D95" s="1" t="s">
        <v>355</v>
      </c>
      <c r="E95" s="1" t="s">
        <v>401</v>
      </c>
      <c r="F95" s="1" t="s">
        <v>112</v>
      </c>
      <c r="G95" s="1">
        <v>2</v>
      </c>
      <c r="H95" s="1">
        <v>5000</v>
      </c>
      <c r="I95" s="1">
        <f t="shared" si="1"/>
        <v>10000</v>
      </c>
    </row>
    <row r="96" spans="1:9" x14ac:dyDescent="0.35">
      <c r="A96" s="1" t="s">
        <v>402</v>
      </c>
      <c r="B96" s="1" t="s">
        <v>403</v>
      </c>
      <c r="C96" s="1" t="s">
        <v>404</v>
      </c>
      <c r="D96" s="1" t="s">
        <v>405</v>
      </c>
      <c r="E96" s="1" t="s">
        <v>406</v>
      </c>
      <c r="F96" s="1" t="s">
        <v>25</v>
      </c>
      <c r="G96" s="1">
        <v>4</v>
      </c>
      <c r="H96" s="1">
        <v>5000</v>
      </c>
      <c r="I96" s="1">
        <f t="shared" si="1"/>
        <v>20000</v>
      </c>
    </row>
    <row r="97" spans="1:9" x14ac:dyDescent="0.35">
      <c r="A97" s="1" t="s">
        <v>407</v>
      </c>
      <c r="B97" s="1" t="s">
        <v>408</v>
      </c>
      <c r="C97" s="1" t="s">
        <v>409</v>
      </c>
      <c r="D97" s="1" t="s">
        <v>11</v>
      </c>
      <c r="E97" s="1" t="s">
        <v>410</v>
      </c>
      <c r="F97" s="1" t="s">
        <v>131</v>
      </c>
      <c r="G97" s="1">
        <v>5</v>
      </c>
      <c r="H97" s="1">
        <v>350000</v>
      </c>
      <c r="I97" s="1">
        <f t="shared" si="1"/>
        <v>1750000</v>
      </c>
    </row>
    <row r="98" spans="1:9" x14ac:dyDescent="0.35">
      <c r="A98" s="1" t="s">
        <v>411</v>
      </c>
      <c r="B98" s="1" t="s">
        <v>412</v>
      </c>
      <c r="C98" s="1" t="s">
        <v>413</v>
      </c>
      <c r="D98" s="1" t="s">
        <v>59</v>
      </c>
      <c r="E98" s="1" t="s">
        <v>393</v>
      </c>
      <c r="F98" s="1" t="s">
        <v>40</v>
      </c>
      <c r="G98" s="1">
        <v>1</v>
      </c>
      <c r="H98" s="1">
        <v>10000</v>
      </c>
      <c r="I98" s="1">
        <f t="shared" si="1"/>
        <v>10000</v>
      </c>
    </row>
    <row r="99" spans="1:9" x14ac:dyDescent="0.35">
      <c r="A99" s="1" t="s">
        <v>414</v>
      </c>
      <c r="B99" s="1" t="s">
        <v>415</v>
      </c>
      <c r="C99" s="1" t="s">
        <v>416</v>
      </c>
      <c r="D99" s="1" t="s">
        <v>245</v>
      </c>
      <c r="E99" s="1" t="s">
        <v>12</v>
      </c>
      <c r="F99" s="1" t="s">
        <v>19</v>
      </c>
      <c r="G99" s="1">
        <v>5</v>
      </c>
      <c r="H99" s="1">
        <v>250000</v>
      </c>
      <c r="I99" s="1">
        <f t="shared" si="1"/>
        <v>1250000</v>
      </c>
    </row>
    <row r="100" spans="1:9" x14ac:dyDescent="0.35">
      <c r="A100" s="1" t="s">
        <v>417</v>
      </c>
      <c r="B100" s="1" t="s">
        <v>418</v>
      </c>
      <c r="C100" s="1" t="s">
        <v>419</v>
      </c>
      <c r="D100" s="1" t="s">
        <v>420</v>
      </c>
      <c r="E100" s="1" t="s">
        <v>421</v>
      </c>
      <c r="F100" s="1" t="s">
        <v>35</v>
      </c>
      <c r="G100" s="1">
        <v>2</v>
      </c>
      <c r="H100" s="1">
        <v>250000</v>
      </c>
      <c r="I100" s="1">
        <f t="shared" si="1"/>
        <v>500000</v>
      </c>
    </row>
    <row r="101" spans="1:9" x14ac:dyDescent="0.35">
      <c r="A101" s="1" t="s">
        <v>422</v>
      </c>
      <c r="B101" s="1" t="s">
        <v>423</v>
      </c>
      <c r="C101" s="1" t="s">
        <v>424</v>
      </c>
      <c r="D101" s="1" t="s">
        <v>121</v>
      </c>
      <c r="E101" s="1" t="s">
        <v>116</v>
      </c>
      <c r="F101" s="1" t="s">
        <v>117</v>
      </c>
      <c r="G101" s="1">
        <v>2</v>
      </c>
      <c r="H101" s="1">
        <v>70000</v>
      </c>
      <c r="I101" s="1">
        <f t="shared" si="1"/>
        <v>140000</v>
      </c>
    </row>
    <row r="102" spans="1:9" x14ac:dyDescent="0.35">
      <c r="A102" s="1" t="s">
        <v>425</v>
      </c>
      <c r="B102" s="1"/>
      <c r="C102" s="1" t="s">
        <v>426</v>
      </c>
      <c r="D102" s="1" t="s">
        <v>28</v>
      </c>
      <c r="E102" s="1" t="s">
        <v>427</v>
      </c>
      <c r="F102" s="1" t="s">
        <v>95</v>
      </c>
      <c r="G102" s="1">
        <v>2</v>
      </c>
      <c r="H102" s="1">
        <v>300000</v>
      </c>
      <c r="I102" s="1">
        <f t="shared" si="1"/>
        <v>600000</v>
      </c>
    </row>
    <row r="103" spans="1:9" x14ac:dyDescent="0.35">
      <c r="A103" s="1" t="s">
        <v>51</v>
      </c>
      <c r="B103" s="1" t="s">
        <v>52</v>
      </c>
      <c r="C103" s="1" t="s">
        <v>53</v>
      </c>
      <c r="D103" s="1" t="s">
        <v>54</v>
      </c>
      <c r="E103" s="1" t="s">
        <v>55</v>
      </c>
      <c r="F103" s="1" t="s">
        <v>19</v>
      </c>
      <c r="G103" s="1">
        <v>1</v>
      </c>
      <c r="H103" s="1">
        <v>250000</v>
      </c>
      <c r="I103" s="1">
        <f t="shared" si="1"/>
        <v>250000</v>
      </c>
    </row>
    <row r="104" spans="1:9" x14ac:dyDescent="0.35">
      <c r="A104" s="1" t="s">
        <v>428</v>
      </c>
      <c r="B104" s="1" t="s">
        <v>429</v>
      </c>
      <c r="C104" s="1" t="s">
        <v>430</v>
      </c>
      <c r="D104" s="1" t="s">
        <v>139</v>
      </c>
      <c r="E104" s="1" t="s">
        <v>145</v>
      </c>
      <c r="F104" s="1" t="s">
        <v>89</v>
      </c>
      <c r="G104" s="1">
        <v>4</v>
      </c>
      <c r="H104" s="1">
        <v>40000</v>
      </c>
      <c r="I104" s="1">
        <f t="shared" si="1"/>
        <v>160000</v>
      </c>
    </row>
    <row r="105" spans="1:9" x14ac:dyDescent="0.35">
      <c r="A105" s="1" t="s">
        <v>431</v>
      </c>
      <c r="B105" s="1" t="s">
        <v>432</v>
      </c>
      <c r="C105" s="1" t="s">
        <v>433</v>
      </c>
      <c r="D105" s="1" t="s">
        <v>267</v>
      </c>
      <c r="E105" s="1" t="s">
        <v>434</v>
      </c>
      <c r="F105" s="1" t="s">
        <v>112</v>
      </c>
      <c r="G105" s="1">
        <v>2</v>
      </c>
      <c r="H105" s="1">
        <v>5000</v>
      </c>
      <c r="I105" s="1">
        <f t="shared" si="1"/>
        <v>10000</v>
      </c>
    </row>
    <row r="106" spans="1:9" x14ac:dyDescent="0.35">
      <c r="A106" s="1" t="s">
        <v>435</v>
      </c>
      <c r="B106" s="1"/>
      <c r="C106" s="1" t="s">
        <v>436</v>
      </c>
      <c r="D106" s="1" t="s">
        <v>437</v>
      </c>
      <c r="E106" s="1" t="s">
        <v>438</v>
      </c>
      <c r="F106" s="1" t="s">
        <v>131</v>
      </c>
      <c r="G106" s="1">
        <v>5</v>
      </c>
      <c r="H106" s="1">
        <v>350000</v>
      </c>
      <c r="I106" s="1">
        <f t="shared" si="1"/>
        <v>1750000</v>
      </c>
    </row>
    <row r="107" spans="1:9" x14ac:dyDescent="0.35">
      <c r="A107" s="1" t="s">
        <v>439</v>
      </c>
      <c r="B107" s="1" t="s">
        <v>440</v>
      </c>
      <c r="C107" s="1" t="s">
        <v>441</v>
      </c>
      <c r="D107" s="1" t="s">
        <v>33</v>
      </c>
      <c r="E107" s="1" t="s">
        <v>442</v>
      </c>
      <c r="F107" s="1" t="s">
        <v>255</v>
      </c>
      <c r="G107" s="1">
        <v>2</v>
      </c>
      <c r="H107" s="1">
        <v>5000</v>
      </c>
      <c r="I107" s="1">
        <f t="shared" si="1"/>
        <v>10000</v>
      </c>
    </row>
    <row r="108" spans="1:9" x14ac:dyDescent="0.35">
      <c r="A108" s="1" t="s">
        <v>443</v>
      </c>
      <c r="B108" s="1" t="s">
        <v>444</v>
      </c>
      <c r="C108" s="1"/>
      <c r="D108" s="1" t="s">
        <v>169</v>
      </c>
      <c r="E108" s="1" t="s">
        <v>445</v>
      </c>
      <c r="F108" s="1" t="s">
        <v>131</v>
      </c>
      <c r="G108" s="1">
        <v>1</v>
      </c>
      <c r="H108" s="1">
        <v>350000</v>
      </c>
      <c r="I108" s="1">
        <f t="shared" si="1"/>
        <v>350000</v>
      </c>
    </row>
    <row r="109" spans="1:9" x14ac:dyDescent="0.35">
      <c r="A109" s="1" t="s">
        <v>446</v>
      </c>
      <c r="B109" s="1" t="s">
        <v>447</v>
      </c>
      <c r="C109" s="1" t="s">
        <v>448</v>
      </c>
      <c r="D109" s="1"/>
      <c r="E109" s="1" t="s">
        <v>449</v>
      </c>
      <c r="F109" s="1" t="s">
        <v>146</v>
      </c>
      <c r="G109" s="1">
        <v>2</v>
      </c>
      <c r="H109" s="1">
        <v>350000</v>
      </c>
      <c r="I109" s="1">
        <f t="shared" si="1"/>
        <v>700000</v>
      </c>
    </row>
    <row r="110" spans="1:9" x14ac:dyDescent="0.35">
      <c r="A110" s="1" t="s">
        <v>381</v>
      </c>
      <c r="B110" s="1" t="s">
        <v>382</v>
      </c>
      <c r="C110" s="1" t="s">
        <v>383</v>
      </c>
      <c r="D110" s="1" t="s">
        <v>144</v>
      </c>
      <c r="E110" s="1" t="s">
        <v>384</v>
      </c>
      <c r="F110" s="1" t="s">
        <v>19</v>
      </c>
      <c r="G110" s="1">
        <v>1</v>
      </c>
      <c r="H110" s="1">
        <v>250000</v>
      </c>
      <c r="I110" s="1">
        <f t="shared" si="1"/>
        <v>250000</v>
      </c>
    </row>
    <row r="111" spans="1:9" x14ac:dyDescent="0.35">
      <c r="A111" s="1" t="s">
        <v>136</v>
      </c>
      <c r="B111" s="1" t="s">
        <v>137</v>
      </c>
      <c r="C111" s="1" t="s">
        <v>138</v>
      </c>
      <c r="D111" s="1" t="s">
        <v>139</v>
      </c>
      <c r="E111" s="1" t="s">
        <v>140</v>
      </c>
      <c r="F111" s="1" t="s">
        <v>13</v>
      </c>
      <c r="G111" s="1">
        <v>1</v>
      </c>
      <c r="H111" s="1">
        <v>35000</v>
      </c>
      <c r="I111" s="1">
        <f t="shared" si="1"/>
        <v>35000</v>
      </c>
    </row>
    <row r="112" spans="1:9" x14ac:dyDescent="0.35">
      <c r="A112" s="1" t="s">
        <v>450</v>
      </c>
      <c r="B112" s="1" t="s">
        <v>451</v>
      </c>
      <c r="C112" s="1" t="s">
        <v>452</v>
      </c>
      <c r="D112" s="1" t="s">
        <v>59</v>
      </c>
      <c r="E112" s="1" t="s">
        <v>453</v>
      </c>
      <c r="F112" s="1" t="s">
        <v>180</v>
      </c>
      <c r="G112" s="1">
        <v>3</v>
      </c>
      <c r="H112" s="1">
        <v>10000</v>
      </c>
      <c r="I112" s="1">
        <f t="shared" si="1"/>
        <v>30000</v>
      </c>
    </row>
    <row r="113" spans="1:9" x14ac:dyDescent="0.35">
      <c r="A113" s="1" t="s">
        <v>454</v>
      </c>
      <c r="B113" s="1" t="s">
        <v>455</v>
      </c>
      <c r="C113" s="1" t="s">
        <v>456</v>
      </c>
      <c r="D113" s="1" t="s">
        <v>204</v>
      </c>
      <c r="E113" s="1" t="s">
        <v>457</v>
      </c>
      <c r="F113" s="1" t="s">
        <v>117</v>
      </c>
      <c r="G113" s="1">
        <v>5</v>
      </c>
      <c r="H113" s="1">
        <v>70000</v>
      </c>
      <c r="I113" s="1">
        <f t="shared" si="1"/>
        <v>350000</v>
      </c>
    </row>
    <row r="114" spans="1:9" x14ac:dyDescent="0.35">
      <c r="A114" s="1" t="s">
        <v>458</v>
      </c>
      <c r="B114" s="1" t="s">
        <v>459</v>
      </c>
      <c r="C114" s="1"/>
      <c r="D114" s="1" t="s">
        <v>154</v>
      </c>
      <c r="E114" s="1" t="s">
        <v>460</v>
      </c>
      <c r="F114" s="1" t="s">
        <v>112</v>
      </c>
      <c r="G114" s="1">
        <v>5</v>
      </c>
      <c r="H114" s="1">
        <v>5000</v>
      </c>
      <c r="I114" s="1">
        <f t="shared" si="1"/>
        <v>25000</v>
      </c>
    </row>
  </sheetData>
  <autoFilter ref="A1:I114" xr:uid="{00000000-0009-0000-0000-000000000000}"/>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F677F-D8E2-4518-98B4-8B520BB4FED8}">
  <dimension ref="A1:I106"/>
  <sheetViews>
    <sheetView workbookViewId="0">
      <selection activeCell="D119" sqref="D119"/>
    </sheetView>
  </sheetViews>
  <sheetFormatPr defaultColWidth="8.6328125" defaultRowHeight="14.5" x14ac:dyDescent="0.35"/>
  <cols>
    <col min="1" max="1" width="22" customWidth="1"/>
    <col min="2" max="2" width="30" customWidth="1"/>
    <col min="3" max="3" width="18" customWidth="1"/>
    <col min="4" max="4" width="16" customWidth="1"/>
    <col min="5" max="5" width="17.08984375" customWidth="1"/>
    <col min="6" max="6" width="14" customWidth="1"/>
    <col min="7" max="7" width="10" customWidth="1"/>
    <col min="8" max="8" width="14.08984375" customWidth="1"/>
    <col min="9" max="9" width="12" customWidth="1"/>
  </cols>
  <sheetData>
    <row r="1" spans="1:9" ht="19.5" customHeight="1" x14ac:dyDescent="0.35">
      <c r="A1" s="2" t="s">
        <v>0</v>
      </c>
      <c r="B1" s="2" t="s">
        <v>1</v>
      </c>
      <c r="C1" s="2" t="s">
        <v>2</v>
      </c>
      <c r="D1" s="2" t="s">
        <v>3</v>
      </c>
      <c r="E1" s="2" t="s">
        <v>4</v>
      </c>
      <c r="F1" s="2" t="s">
        <v>5</v>
      </c>
      <c r="G1" s="2" t="s">
        <v>6</v>
      </c>
      <c r="H1" s="2" t="s">
        <v>461</v>
      </c>
      <c r="I1" s="2" t="s">
        <v>7</v>
      </c>
    </row>
    <row r="2" spans="1:9" x14ac:dyDescent="0.35">
      <c r="A2" s="1" t="str">
        <f>PROPER(TRIM('Raw Data'!A2))</f>
        <v>Emeka Sanni</v>
      </c>
      <c r="B2" s="1" t="str">
        <f>IF('Raw Data'!B2="","Missing",LOWER(TRIM('Raw Data'!B2)))</f>
        <v>emeka.sanni41@outlook.com</v>
      </c>
      <c r="C2" s="1" t="str">
        <f>IF('Raw Data'!C2="","Missing",TRIM('Raw Data'!C2))</f>
        <v>08452984153</v>
      </c>
      <c r="D2" s="1" t="str">
        <f>IF('Raw Data'!D2="","Missing",PROPER(TRIM('Raw Data'!D2)))</f>
        <v>Ibadan</v>
      </c>
      <c r="E2" s="3">
        <f>IF(ISNUMBER(SEARCH("/",'Raw Data'!E2)),DATE(VALUE(RIGHT('Raw Data'!E2,4)),VALUE(MID('Raw Data'!E2,4,2)),VALUE(LEFT('Raw Data'!E2,2))),DATE(VALUE(LEFT('Raw Data'!E2,4)),VALUE(MID('Raw Data'!E2,6,2)),VALUE(RIGHT('Raw Data'!E2,2))))</f>
        <v>45310</v>
      </c>
      <c r="F2" s="1" t="str">
        <f>PROPER('Raw Data'!F2)</f>
        <v>Wrist Watch</v>
      </c>
      <c r="G2" s="1">
        <v>4</v>
      </c>
      <c r="H2" s="1">
        <v>35000</v>
      </c>
      <c r="I2" s="1">
        <f t="shared" ref="I2:I33" si="0">G2*H2</f>
        <v>140000</v>
      </c>
    </row>
    <row r="3" spans="1:9" x14ac:dyDescent="0.35">
      <c r="A3" s="1" t="str">
        <f>PROPER(TRIM('Raw Data'!A3))</f>
        <v>Blessing Adekunle</v>
      </c>
      <c r="B3" s="1" t="str">
        <f>IF('Raw Data'!B3="","Missing",LOWER(TRIM('Raw Data'!B3)))</f>
        <v>blessing.adekunle@yahoo.com</v>
      </c>
      <c r="C3" s="1" t="str">
        <f>IF('Raw Data'!C3="","Missing",TRIM('Raw Data'!C3))</f>
        <v>0446-049-5660</v>
      </c>
      <c r="D3" s="1" t="str">
        <f>IF('Raw Data'!D3="","Missing",PROPER(TRIM('Raw Data'!D3)))</f>
        <v>Port Harcourt</v>
      </c>
      <c r="E3" s="3">
        <f>IF(ISNUMBER(SEARCH("/",'Raw Data'!E3)),DATE(VALUE(RIGHT('Raw Data'!E3,4)),VALUE(MID('Raw Data'!E3,4,2)),VALUE(LEFT('Raw Data'!E3,2))),DATE(VALUE(LEFT('Raw Data'!E3,4)),VALUE(MID('Raw Data'!E3,6,2)),VALUE(RIGHT('Raw Data'!E3,2))))</f>
        <v>45422</v>
      </c>
      <c r="F3" s="1" t="str">
        <f>PROPER('Raw Data'!F3)</f>
        <v>Smartphone</v>
      </c>
      <c r="G3" s="1">
        <v>5</v>
      </c>
      <c r="H3" s="1">
        <v>250000</v>
      </c>
      <c r="I3" s="1">
        <f t="shared" si="0"/>
        <v>1250000</v>
      </c>
    </row>
    <row r="4" spans="1:9" x14ac:dyDescent="0.35">
      <c r="A4" s="1" t="str">
        <f>PROPER(TRIM('Raw Data'!A4))</f>
        <v>Musa Chukwu</v>
      </c>
      <c r="B4" s="1" t="str">
        <f>IF('Raw Data'!B4="","Missing",LOWER(TRIM('Raw Data'!B4)))</f>
        <v>musa.chukwu@yahoo.com</v>
      </c>
      <c r="C4" s="1" t="str">
        <f>IF('Raw Data'!C4="","Missing",TRIM('Raw Data'!C4))</f>
        <v>04634786122</v>
      </c>
      <c r="D4" s="1" t="str">
        <f>IF('Raw Data'!D4="","Missing",PROPER(TRIM('Raw Data'!D4)))</f>
        <v>Kano</v>
      </c>
      <c r="E4" s="3">
        <f>IF(ISNUMBER(SEARCH("/",'Raw Data'!E4)),DATE(VALUE(RIGHT('Raw Data'!E4,4)),VALUE(MID('Raw Data'!E4,4,2)),VALUE(LEFT('Raw Data'!E4,2))),DATE(VALUE(LEFT('Raw Data'!E4,4)),VALUE(MID('Raw Data'!E4,6,2)),VALUE(RIGHT('Raw Data'!E4,2))))</f>
        <v>45339</v>
      </c>
      <c r="F4" s="1" t="str">
        <f>PROPER('Raw Data'!F4)</f>
        <v>Handbag</v>
      </c>
      <c r="G4" s="1">
        <v>3</v>
      </c>
      <c r="H4" s="1">
        <v>5000</v>
      </c>
      <c r="I4" s="1">
        <f t="shared" si="0"/>
        <v>15000</v>
      </c>
    </row>
    <row r="5" spans="1:9" x14ac:dyDescent="0.35">
      <c r="A5" s="1" t="str">
        <f>PROPER(TRIM('Raw Data'!A5))</f>
        <v>Chukwudi Okoro</v>
      </c>
      <c r="B5" s="1" t="str">
        <f>IF('Raw Data'!B5="","Missing",LOWER(TRIM('Raw Data'!B5)))</f>
        <v>chukwudi.okoro@gmail.com</v>
      </c>
      <c r="C5" s="1" t="str">
        <f>IF('Raw Data'!C5="","Missing",TRIM('Raw Data'!C5))</f>
        <v>Missing</v>
      </c>
      <c r="D5" s="1" t="str">
        <f>IF('Raw Data'!D5="","Missing",PROPER(TRIM('Raw Data'!D5)))</f>
        <v>Kano</v>
      </c>
      <c r="E5" s="3">
        <f>IF(ISNUMBER(SEARCH("/",'Raw Data'!E5)),DATE(VALUE(RIGHT('Raw Data'!E5,4)),VALUE(MID('Raw Data'!E5,4,2)),VALUE(LEFT('Raw Data'!E5,2))),DATE(VALUE(LEFT('Raw Data'!E5,4)),VALUE(MID('Raw Data'!E5,6,2)),VALUE(RIGHT('Raw Data'!E5,2))))</f>
        <v>45378</v>
      </c>
      <c r="F5" s="1" t="str">
        <f>PROPER('Raw Data'!F5)</f>
        <v>Handbag</v>
      </c>
      <c r="G5" s="1">
        <v>5</v>
      </c>
      <c r="H5" s="1">
        <v>5000</v>
      </c>
      <c r="I5" s="1">
        <f t="shared" si="0"/>
        <v>25000</v>
      </c>
    </row>
    <row r="6" spans="1:9" x14ac:dyDescent="0.35">
      <c r="A6" s="1" t="str">
        <f>PROPER(TRIM('Raw Data'!A6))</f>
        <v>Ngozi Ibrahim</v>
      </c>
      <c r="B6" s="1" t="str">
        <f>IF('Raw Data'!B6="","Missing",LOWER(TRIM('Raw Data'!B6)))</f>
        <v>ngozi.ibrahim@yahoo.com</v>
      </c>
      <c r="C6" s="1" t="str">
        <f>IF('Raw Data'!C6="","Missing",TRIM('Raw Data'!C6))</f>
        <v>0889-148-6546</v>
      </c>
      <c r="D6" s="1" t="str">
        <f>IF('Raw Data'!D6="","Missing",PROPER(TRIM('Raw Data'!D6)))</f>
        <v>Kano</v>
      </c>
      <c r="E6" s="3">
        <f>IF(ISNUMBER(SEARCH("/",'Raw Data'!E6)),DATE(VALUE(RIGHT('Raw Data'!E6,4)),VALUE(MID('Raw Data'!E6,4,2)),VALUE(LEFT('Raw Data'!E6,2))),DATE(VALUE(LEFT('Raw Data'!E6,4)),VALUE(MID('Raw Data'!E6,6,2)),VALUE(RIGHT('Raw Data'!E6,2))))</f>
        <v>45350</v>
      </c>
      <c r="F6" s="1" t="str">
        <f>PROPER('Raw Data'!F6)</f>
        <v>Smartphone</v>
      </c>
      <c r="G6" s="1">
        <v>3</v>
      </c>
      <c r="H6" s="1">
        <v>250000</v>
      </c>
      <c r="I6" s="1">
        <f t="shared" si="0"/>
        <v>750000</v>
      </c>
    </row>
    <row r="7" spans="1:9" x14ac:dyDescent="0.35">
      <c r="A7" s="1" t="str">
        <f>PROPER(TRIM('Raw Data'!A7))</f>
        <v>Wale Okoro</v>
      </c>
      <c r="B7" s="1" t="str">
        <f>IF('Raw Data'!B7="","Missing",LOWER(TRIM('Raw Data'!B7)))</f>
        <v>wale.okoro@yahoo.com</v>
      </c>
      <c r="C7" s="1" t="str">
        <f>IF('Raw Data'!C7="","Missing",TRIM('Raw Data'!C7))</f>
        <v>Missing</v>
      </c>
      <c r="D7" s="1" t="str">
        <f>IF('Raw Data'!D7="","Missing",PROPER(TRIM('Raw Data'!D7)))</f>
        <v>Enugu</v>
      </c>
      <c r="E7" s="3">
        <f>IF(ISNUMBER(SEARCH("/",'Raw Data'!E7)),DATE(VALUE(RIGHT('Raw Data'!E7,4)),VALUE(MID('Raw Data'!E7,4,2)),VALUE(LEFT('Raw Data'!E7,2))),DATE(VALUE(LEFT('Raw Data'!E7,4)),VALUE(MID('Raw Data'!E7,6,2)),VALUE(RIGHT('Raw Data'!E7,2))))</f>
        <v>45445</v>
      </c>
      <c r="F7" s="1" t="str">
        <f>PROPER('Raw Data'!F7)</f>
        <v>Blender</v>
      </c>
      <c r="G7" s="1">
        <v>5</v>
      </c>
      <c r="H7" s="1">
        <v>10000</v>
      </c>
      <c r="I7" s="1">
        <f t="shared" si="0"/>
        <v>50000</v>
      </c>
    </row>
    <row r="8" spans="1:9" x14ac:dyDescent="0.35">
      <c r="A8" s="1" t="str">
        <f>PROPER(TRIM('Raw Data'!A8))</f>
        <v>Adaeze Abubakar</v>
      </c>
      <c r="B8" s="1" t="str">
        <f>IF('Raw Data'!B8="","Missing",LOWER(TRIM('Raw Data'!B8)))</f>
        <v>adaeze.abubakar@outlook.com</v>
      </c>
      <c r="C8" s="1" t="str">
        <f>IF('Raw Data'!C8="","Missing",TRIM('Raw Data'!C8))</f>
        <v>0053-446-8826</v>
      </c>
      <c r="D8" s="1" t="str">
        <f>IF('Raw Data'!D8="","Missing",PROPER(TRIM('Raw Data'!D8)))</f>
        <v>Enugu</v>
      </c>
      <c r="E8" s="3">
        <f>IF(ISNUMBER(SEARCH("/",'Raw Data'!E8)),DATE(VALUE(RIGHT('Raw Data'!E8,4)),VALUE(MID('Raw Data'!E8,4,2)),VALUE(LEFT('Raw Data'!E8,2))),DATE(VALUE(LEFT('Raw Data'!E8,4)),VALUE(MID('Raw Data'!E8,6,2)),VALUE(RIGHT('Raw Data'!E8,2))))</f>
        <v>45329</v>
      </c>
      <c r="F8" s="1" t="str">
        <f>PROPER('Raw Data'!F8)</f>
        <v>Smartphone</v>
      </c>
      <c r="G8" s="1">
        <v>1</v>
      </c>
      <c r="H8" s="1">
        <v>250000</v>
      </c>
      <c r="I8" s="1">
        <f t="shared" si="0"/>
        <v>250000</v>
      </c>
    </row>
    <row r="9" spans="1:9" x14ac:dyDescent="0.35">
      <c r="A9" s="1" t="str">
        <f>PROPER(TRIM('Raw Data'!A9))</f>
        <v>Chinedu Balogun</v>
      </c>
      <c r="B9" s="1" t="str">
        <f>IF('Raw Data'!B9="","Missing",LOWER(TRIM('Raw Data'!B9)))</f>
        <v>Missing</v>
      </c>
      <c r="C9" s="1" t="str">
        <f>IF('Raw Data'!C9="","Missing",TRIM('Raw Data'!C9))</f>
        <v>06199582254</v>
      </c>
      <c r="D9" s="1" t="str">
        <f>IF('Raw Data'!D9="","Missing",PROPER(TRIM('Raw Data'!D9)))</f>
        <v>Abuja</v>
      </c>
      <c r="E9" s="3">
        <f>IF(ISNUMBER(SEARCH("/",'Raw Data'!E9)),DATE(VALUE(RIGHT('Raw Data'!E9,4)),VALUE(MID('Raw Data'!E9,4,2)),VALUE(LEFT('Raw Data'!E9,2))),DATE(VALUE(LEFT('Raw Data'!E9,4)),VALUE(MID('Raw Data'!E9,6,2)),VALUE(RIGHT('Raw Data'!E9,2))))</f>
        <v>45425</v>
      </c>
      <c r="F9" s="1" t="str">
        <f>PROPER('Raw Data'!F9)</f>
        <v>Blender</v>
      </c>
      <c r="G9" s="1">
        <v>1</v>
      </c>
      <c r="H9" s="1">
        <v>10000</v>
      </c>
      <c r="I9" s="1">
        <f t="shared" si="0"/>
        <v>10000</v>
      </c>
    </row>
    <row r="10" spans="1:9" x14ac:dyDescent="0.35">
      <c r="A10" s="1" t="str">
        <f>PROPER(TRIM('Raw Data'!A10))</f>
        <v>Aisha Balogun</v>
      </c>
      <c r="B10" s="1" t="str">
        <f>IF('Raw Data'!B10="","Missing",LOWER(TRIM('Raw Data'!B10)))</f>
        <v>aisha.balogun@outlook.com</v>
      </c>
      <c r="C10" s="1" t="str">
        <f>IF('Raw Data'!C10="","Missing",TRIM('Raw Data'!C10))</f>
        <v>0051-697-8464</v>
      </c>
      <c r="D10" s="1" t="str">
        <f>IF('Raw Data'!D10="","Missing",PROPER(TRIM('Raw Data'!D10)))</f>
        <v>Ibadan</v>
      </c>
      <c r="E10" s="3">
        <f>IF(ISNUMBER(SEARCH("/",'Raw Data'!E10)),DATE(VALUE(RIGHT('Raw Data'!E10,4)),VALUE(MID('Raw Data'!E10,4,2)),VALUE(LEFT('Raw Data'!E10,2))),DATE(VALUE(LEFT('Raw Data'!E10,4)),VALUE(MID('Raw Data'!E10,6,2)),VALUE(RIGHT('Raw Data'!E10,2))))</f>
        <v>45295</v>
      </c>
      <c r="F10" s="1" t="str">
        <f>PROPER('Raw Data'!F10)</f>
        <v>Smartphone</v>
      </c>
      <c r="G10" s="1">
        <v>1</v>
      </c>
      <c r="H10" s="1">
        <v>250000</v>
      </c>
      <c r="I10" s="1">
        <f t="shared" si="0"/>
        <v>250000</v>
      </c>
    </row>
    <row r="11" spans="1:9" x14ac:dyDescent="0.35">
      <c r="A11" s="1" t="str">
        <f>PROPER(TRIM('Raw Data'!A11))</f>
        <v>Ibrahim Abubakar</v>
      </c>
      <c r="B11" s="1" t="str">
        <f>IF('Raw Data'!B11="","Missing",LOWER(TRIM('Raw Data'!B11)))</f>
        <v>ibrahim.abubakar@gmail.com</v>
      </c>
      <c r="C11" s="1" t="str">
        <f>IF('Raw Data'!C11="","Missing",TRIM('Raw Data'!C11))</f>
        <v>09139099603</v>
      </c>
      <c r="D11" s="1" t="str">
        <f>IF('Raw Data'!D11="","Missing",PROPER(TRIM('Raw Data'!D11)))</f>
        <v>Abuja</v>
      </c>
      <c r="E11" s="3">
        <f>IF(ISNUMBER(SEARCH("/",'Raw Data'!E11)),DATE(VALUE(RIGHT('Raw Data'!E11,4)),VALUE(MID('Raw Data'!E11,4,2)),VALUE(LEFT('Raw Data'!E11,2))),DATE(VALUE(LEFT('Raw Data'!E11,4)),VALUE(MID('Raw Data'!E11,6,2)),VALUE(RIGHT('Raw Data'!E11,2))))</f>
        <v>45425</v>
      </c>
      <c r="F11" s="1" t="str">
        <f>PROPER('Raw Data'!F11)</f>
        <v>Headphones</v>
      </c>
      <c r="G11" s="1">
        <v>2</v>
      </c>
      <c r="H11" s="1">
        <v>70000</v>
      </c>
      <c r="I11" s="1">
        <f t="shared" si="0"/>
        <v>140000</v>
      </c>
    </row>
    <row r="12" spans="1:9" x14ac:dyDescent="0.35">
      <c r="A12" s="1" t="str">
        <f>PROPER(TRIM('Raw Data'!A12))</f>
        <v>Kunle Obi</v>
      </c>
      <c r="B12" s="1" t="str">
        <f>IF('Raw Data'!B12="","Missing",LOWER(TRIM('Raw Data'!B12)))</f>
        <v>kunle.obi@gmail.com</v>
      </c>
      <c r="C12" s="1" t="str">
        <f>IF('Raw Data'!C12="","Missing",TRIM('Raw Data'!C12))</f>
        <v>Missing</v>
      </c>
      <c r="D12" s="1" t="str">
        <f>IF('Raw Data'!D12="","Missing",PROPER(TRIM('Raw Data'!D12)))</f>
        <v>Lagos</v>
      </c>
      <c r="E12" s="3">
        <f>IF(ISNUMBER(SEARCH("/",'Raw Data'!E12)),DATE(VALUE(RIGHT('Raw Data'!E12,4)),VALUE(MID('Raw Data'!E12,4,2)),VALUE(LEFT('Raw Data'!E12,2))),DATE(VALUE(LEFT('Raw Data'!E12,4)),VALUE(MID('Raw Data'!E12,6,2)),VALUE(RIGHT('Raw Data'!E12,2))))</f>
        <v>45334</v>
      </c>
      <c r="F12" s="1" t="str">
        <f>PROPER('Raw Data'!F12)</f>
        <v>Blender</v>
      </c>
      <c r="G12" s="1">
        <v>2</v>
      </c>
      <c r="H12" s="1">
        <v>10000</v>
      </c>
      <c r="I12" s="1">
        <f t="shared" si="0"/>
        <v>20000</v>
      </c>
    </row>
    <row r="13" spans="1:9" x14ac:dyDescent="0.35">
      <c r="A13" s="1" t="str">
        <f>PROPER(TRIM('Raw Data'!A13))</f>
        <v>Bisi Sanni</v>
      </c>
      <c r="B13" s="1" t="str">
        <f>IF('Raw Data'!B13="","Missing",LOWER(TRIM('Raw Data'!B13)))</f>
        <v>bisi.sanni@yahoo.com</v>
      </c>
      <c r="C13" s="1" t="str">
        <f>IF('Raw Data'!C13="","Missing",TRIM('Raw Data'!C13))</f>
        <v>Missing</v>
      </c>
      <c r="D13" s="1" t="str">
        <f>IF('Raw Data'!D13="","Missing",PROPER(TRIM('Raw Data'!D13)))</f>
        <v>Ibadan</v>
      </c>
      <c r="E13" s="3">
        <f>IF(ISNUMBER(SEARCH("/",'Raw Data'!E13)),DATE(VALUE(RIGHT('Raw Data'!E13,4)),VALUE(MID('Raw Data'!E13,4,2)),VALUE(LEFT('Raw Data'!E13,2))),DATE(VALUE(LEFT('Raw Data'!E13,4)),VALUE(MID('Raw Data'!E13,6,2)),VALUE(RIGHT('Raw Data'!E13,2))))</f>
        <v>45410</v>
      </c>
      <c r="F13" s="1" t="str">
        <f>PROPER('Raw Data'!F13)</f>
        <v>Blender</v>
      </c>
      <c r="G13" s="1">
        <v>2</v>
      </c>
      <c r="H13" s="1">
        <v>10000</v>
      </c>
      <c r="I13" s="1">
        <f t="shared" si="0"/>
        <v>20000</v>
      </c>
    </row>
    <row r="14" spans="1:9" x14ac:dyDescent="0.35">
      <c r="A14" s="1" t="str">
        <f>PROPER(TRIM('Raw Data'!A14))</f>
        <v>Emeka Okafor</v>
      </c>
      <c r="B14" s="1" t="str">
        <f>IF('Raw Data'!B14="","Missing",LOWER(TRIM('Raw Data'!B14)))</f>
        <v>emeka.okafor@gmail.com</v>
      </c>
      <c r="C14" s="1" t="str">
        <f>IF('Raw Data'!C14="","Missing",TRIM('Raw Data'!C14))</f>
        <v>0776-467-2720</v>
      </c>
      <c r="D14" s="1" t="str">
        <f>IF('Raw Data'!D14="","Missing",PROPER(TRIM('Raw Data'!D14)))</f>
        <v>Enugu</v>
      </c>
      <c r="E14" s="3">
        <f>IF(ISNUMBER(SEARCH("/",'Raw Data'!E14)),DATE(VALUE(RIGHT('Raw Data'!E14,4)),VALUE(MID('Raw Data'!E14,4,2)),VALUE(LEFT('Raw Data'!E14,2))),DATE(VALUE(LEFT('Raw Data'!E14,4)),VALUE(MID('Raw Data'!E14,6,2)),VALUE(RIGHT('Raw Data'!E14,2))))</f>
        <v>45460</v>
      </c>
      <c r="F14" s="1" t="str">
        <f>PROPER('Raw Data'!F14)</f>
        <v>Wrist Watch</v>
      </c>
      <c r="G14" s="1">
        <v>1</v>
      </c>
      <c r="H14" s="1">
        <v>35000</v>
      </c>
      <c r="I14" s="1">
        <f t="shared" si="0"/>
        <v>35000</v>
      </c>
    </row>
    <row r="15" spans="1:9" x14ac:dyDescent="0.35">
      <c r="A15" s="1" t="str">
        <f>PROPER(TRIM('Raw Data'!A15))</f>
        <v>Abdullahi Chukwu</v>
      </c>
      <c r="B15" s="1" t="str">
        <f>IF('Raw Data'!B15="","Missing",LOWER(TRIM('Raw Data'!B15)))</f>
        <v>abdullahi.chukwu@yahoo.com</v>
      </c>
      <c r="C15" s="1" t="str">
        <f>IF('Raw Data'!C15="","Missing",TRIM('Raw Data'!C15))</f>
        <v>0352-056-1748</v>
      </c>
      <c r="D15" s="1" t="str">
        <f>IF('Raw Data'!D15="","Missing",PROPER(TRIM('Raw Data'!D15)))</f>
        <v>Abuja</v>
      </c>
      <c r="E15" s="3">
        <f>IF(ISNUMBER(SEARCH("/",'Raw Data'!E15)),DATE(VALUE(RIGHT('Raw Data'!E15,4)),VALUE(MID('Raw Data'!E15,4,2)),VALUE(LEFT('Raw Data'!E15,2))),DATE(VALUE(LEFT('Raw Data'!E15,4)),VALUE(MID('Raw Data'!E15,6,2)),VALUE(RIGHT('Raw Data'!E15,2))))</f>
        <v>45431</v>
      </c>
      <c r="F15" s="1" t="str">
        <f>PROPER('Raw Data'!F15)</f>
        <v>Wrist Watch</v>
      </c>
      <c r="G15" s="1">
        <v>1</v>
      </c>
      <c r="H15" s="1">
        <v>35000</v>
      </c>
      <c r="I15" s="1">
        <f t="shared" si="0"/>
        <v>35000</v>
      </c>
    </row>
    <row r="16" spans="1:9" x14ac:dyDescent="0.35">
      <c r="A16" s="1" t="str">
        <f>PROPER(TRIM('Raw Data'!A16))</f>
        <v>Toyin Nwosu</v>
      </c>
      <c r="B16" s="1" t="str">
        <f>IF('Raw Data'!B16="","Missing",LOWER(TRIM('Raw Data'!B16)))</f>
        <v>toyin.nwosu@gmail.com</v>
      </c>
      <c r="C16" s="1" t="str">
        <f>IF('Raw Data'!C16="","Missing",TRIM('Raw Data'!C16))</f>
        <v>0718-818-1741</v>
      </c>
      <c r="D16" s="1" t="str">
        <f>IF('Raw Data'!D16="","Missing",PROPER(TRIM('Raw Data'!D16)))</f>
        <v>Abuja</v>
      </c>
      <c r="E16" s="3">
        <f>IF(ISNUMBER(SEARCH("/",'Raw Data'!E16)),DATE(VALUE(RIGHT('Raw Data'!E16,4)),VALUE(MID('Raw Data'!E16,4,2)),VALUE(LEFT('Raw Data'!E16,2))),DATE(VALUE(LEFT('Raw Data'!E16,4)),VALUE(MID('Raw Data'!E16,6,2)),VALUE(RIGHT('Raw Data'!E16,2))))</f>
        <v>45469</v>
      </c>
      <c r="F16" s="1" t="str">
        <f>PROPER('Raw Data'!F16)</f>
        <v>Television</v>
      </c>
      <c r="G16" s="1">
        <v>3</v>
      </c>
      <c r="H16" s="1">
        <v>300000</v>
      </c>
      <c r="I16" s="1">
        <f t="shared" si="0"/>
        <v>900000</v>
      </c>
    </row>
    <row r="17" spans="1:9" x14ac:dyDescent="0.35">
      <c r="A17" s="1" t="str">
        <f>PROPER(TRIM('Raw Data'!A17))</f>
        <v>Halima Adeyemi</v>
      </c>
      <c r="B17" s="1" t="str">
        <f>IF('Raw Data'!B17="","Missing",LOWER(TRIM('Raw Data'!B17)))</f>
        <v>halima.adeyemi@outlook.com</v>
      </c>
      <c r="C17" s="1" t="str">
        <f>IF('Raw Data'!C17="","Missing",TRIM('Raw Data'!C17))</f>
        <v>Missing</v>
      </c>
      <c r="D17" s="1" t="str">
        <f>IF('Raw Data'!D17="","Missing",PROPER(TRIM('Raw Data'!D17)))</f>
        <v>Ibadan</v>
      </c>
      <c r="E17" s="3">
        <f>IF(ISNUMBER(SEARCH("/",'Raw Data'!E17)),DATE(VALUE(RIGHT('Raw Data'!E17,4)),VALUE(MID('Raw Data'!E17,4,2)),VALUE(LEFT('Raw Data'!E17,2))),DATE(VALUE(LEFT('Raw Data'!E17,4)),VALUE(MID('Raw Data'!E17,6,2)),VALUE(RIGHT('Raw Data'!E17,2))))</f>
        <v>45421</v>
      </c>
      <c r="F17" s="1" t="str">
        <f>PROPER('Raw Data'!F17)</f>
        <v>Sneakers</v>
      </c>
      <c r="G17" s="1">
        <v>3</v>
      </c>
      <c r="H17" s="1">
        <v>40000</v>
      </c>
      <c r="I17" s="1">
        <f t="shared" si="0"/>
        <v>120000</v>
      </c>
    </row>
    <row r="18" spans="1:9" x14ac:dyDescent="0.35">
      <c r="A18" s="1" t="str">
        <f>PROPER(TRIM('Raw Data'!A18))</f>
        <v>Bukola Umeh</v>
      </c>
      <c r="B18" s="1" t="str">
        <f>IF('Raw Data'!B18="","Missing",LOWER(TRIM('Raw Data'!B18)))</f>
        <v>bukola.umeh@yahoo.com</v>
      </c>
      <c r="C18" s="1" t="str">
        <f>IF('Raw Data'!C18="","Missing",TRIM('Raw Data'!C18))</f>
        <v>07628331258</v>
      </c>
      <c r="D18" s="1" t="str">
        <f>IF('Raw Data'!D18="","Missing",PROPER(TRIM('Raw Data'!D18)))</f>
        <v>Abuja</v>
      </c>
      <c r="E18" s="3">
        <f>IF(ISNUMBER(SEARCH("/",'Raw Data'!E18)),DATE(VALUE(RIGHT('Raw Data'!E18,4)),VALUE(MID('Raw Data'!E18,4,2)),VALUE(LEFT('Raw Data'!E18,2))),DATE(VALUE(LEFT('Raw Data'!E18,4)),VALUE(MID('Raw Data'!E18,6,2)),VALUE(RIGHT('Raw Data'!E18,2))))</f>
        <v>45301</v>
      </c>
      <c r="F18" s="1" t="str">
        <f>PROPER('Raw Data'!F18)</f>
        <v>Television</v>
      </c>
      <c r="G18" s="1">
        <v>1</v>
      </c>
      <c r="H18" s="1">
        <v>300000</v>
      </c>
      <c r="I18" s="1">
        <f t="shared" si="0"/>
        <v>300000</v>
      </c>
    </row>
    <row r="19" spans="1:9" x14ac:dyDescent="0.35">
      <c r="A19" s="1" t="str">
        <f>PROPER(TRIM('Raw Data'!A19))</f>
        <v>Chidinma Balogun</v>
      </c>
      <c r="B19" s="1" t="str">
        <f>IF('Raw Data'!B19="","Missing",LOWER(TRIM('Raw Data'!B19)))</f>
        <v>Missing</v>
      </c>
      <c r="C19" s="1" t="str">
        <f>IF('Raw Data'!C19="","Missing",TRIM('Raw Data'!C19))</f>
        <v>0865-797-5432</v>
      </c>
      <c r="D19" s="1" t="str">
        <f>IF('Raw Data'!D19="","Missing",PROPER(TRIM('Raw Data'!D19)))</f>
        <v>Abuja</v>
      </c>
      <c r="E19" s="3">
        <f>IF(ISNUMBER(SEARCH("/",'Raw Data'!E19)),DATE(VALUE(RIGHT('Raw Data'!E19,4)),VALUE(MID('Raw Data'!E19,4,2)),VALUE(LEFT('Raw Data'!E19,2))),DATE(VALUE(LEFT('Raw Data'!E19,4)),VALUE(MID('Raw Data'!E19,6,2)),VALUE(RIGHT('Raw Data'!E19,2))))</f>
        <v>45452</v>
      </c>
      <c r="F19" s="1" t="str">
        <f>PROPER('Raw Data'!F19)</f>
        <v>Headphones</v>
      </c>
      <c r="G19" s="1">
        <v>3</v>
      </c>
      <c r="H19" s="1">
        <v>70000</v>
      </c>
      <c r="I19" s="1">
        <f t="shared" si="0"/>
        <v>210000</v>
      </c>
    </row>
    <row r="20" spans="1:9" x14ac:dyDescent="0.35">
      <c r="A20" s="1" t="str">
        <f>PROPER(TRIM('Raw Data'!A20))</f>
        <v>Chidinma Okafor</v>
      </c>
      <c r="B20" s="1" t="str">
        <f>IF('Raw Data'!B20="","Missing",LOWER(TRIM('Raw Data'!B20)))</f>
        <v>chidinma.okafor@outlook.com</v>
      </c>
      <c r="C20" s="1" t="str">
        <f>IF('Raw Data'!C20="","Missing",TRIM('Raw Data'!C20))</f>
        <v>03100251678</v>
      </c>
      <c r="D20" s="1" t="str">
        <f>IF('Raw Data'!D20="","Missing",PROPER(TRIM('Raw Data'!D20)))</f>
        <v>Lagos</v>
      </c>
      <c r="E20" s="3">
        <f>IF(ISNUMBER(SEARCH("/",'Raw Data'!E20)),DATE(VALUE(RIGHT('Raw Data'!E20,4)),VALUE(MID('Raw Data'!E20,4,2)),VALUE(LEFT('Raw Data'!E20,2))),DATE(VALUE(LEFT('Raw Data'!E20,4)),VALUE(MID('Raw Data'!E20,6,2)),VALUE(RIGHT('Raw Data'!E20,2))))</f>
        <v>45305</v>
      </c>
      <c r="F20" s="1" t="str">
        <f>PROPER('Raw Data'!F20)</f>
        <v>Headphones</v>
      </c>
      <c r="G20" s="1">
        <v>3</v>
      </c>
      <c r="H20" s="1">
        <v>70000</v>
      </c>
      <c r="I20" s="1">
        <f t="shared" si="0"/>
        <v>210000</v>
      </c>
    </row>
    <row r="21" spans="1:9" x14ac:dyDescent="0.35">
      <c r="A21" s="1" t="str">
        <f>PROPER(TRIM('Raw Data'!A21))</f>
        <v>Sani Okafor</v>
      </c>
      <c r="B21" s="1" t="str">
        <f>IF('Raw Data'!B21="","Missing",LOWER(TRIM('Raw Data'!B21)))</f>
        <v>sani.okafor@gmail.com</v>
      </c>
      <c r="C21" s="1" t="str">
        <f>IF('Raw Data'!C21="","Missing",TRIM('Raw Data'!C21))</f>
        <v>09022279180</v>
      </c>
      <c r="D21" s="1" t="str">
        <f>IF('Raw Data'!D21="","Missing",PROPER(TRIM('Raw Data'!D21)))</f>
        <v>Kano</v>
      </c>
      <c r="E21" s="3">
        <f>IF(ISNUMBER(SEARCH("/",'Raw Data'!E21)),DATE(VALUE(RIGHT('Raw Data'!E21,4)),VALUE(MID('Raw Data'!E21,4,2)),VALUE(LEFT('Raw Data'!E21,2))),DATE(VALUE(LEFT('Raw Data'!E21,4)),VALUE(MID('Raw Data'!E21,6,2)),VALUE(RIGHT('Raw Data'!E21,2))))</f>
        <v>45423</v>
      </c>
      <c r="F21" s="1" t="str">
        <f>PROPER('Raw Data'!F21)</f>
        <v>Smartphone</v>
      </c>
      <c r="G21" s="1">
        <v>1</v>
      </c>
      <c r="H21" s="1">
        <v>250000</v>
      </c>
      <c r="I21" s="1">
        <f t="shared" si="0"/>
        <v>250000</v>
      </c>
    </row>
    <row r="22" spans="1:9" x14ac:dyDescent="0.35">
      <c r="A22" s="1" t="str">
        <f>PROPER(TRIM('Raw Data'!A22))</f>
        <v>Sani Abubakar</v>
      </c>
      <c r="B22" s="1" t="str">
        <f>IF('Raw Data'!B22="","Missing",LOWER(TRIM('Raw Data'!B22)))</f>
        <v>sani.abubakar78@outlook.com</v>
      </c>
      <c r="C22" s="1" t="str">
        <f>IF('Raw Data'!C22="","Missing",TRIM('Raw Data'!C22))</f>
        <v>0620-191-3274</v>
      </c>
      <c r="D22" s="1" t="str">
        <f>IF('Raw Data'!D22="","Missing",PROPER(TRIM('Raw Data'!D22)))</f>
        <v>Abuja</v>
      </c>
      <c r="E22" s="3">
        <f>IF(ISNUMBER(SEARCH("/",'Raw Data'!E22)),DATE(VALUE(RIGHT('Raw Data'!E22,4)),VALUE(MID('Raw Data'!E22,4,2)),VALUE(LEFT('Raw Data'!E22,2))),DATE(VALUE(LEFT('Raw Data'!E22,4)),VALUE(MID('Raw Data'!E22,6,2)),VALUE(RIGHT('Raw Data'!E22,2))))</f>
        <v>45434</v>
      </c>
      <c r="F22" s="1" t="str">
        <f>PROPER('Raw Data'!F22)</f>
        <v>Handbag</v>
      </c>
      <c r="G22" s="1">
        <v>7</v>
      </c>
      <c r="H22" s="1">
        <v>5000</v>
      </c>
      <c r="I22" s="1">
        <f t="shared" si="0"/>
        <v>35000</v>
      </c>
    </row>
    <row r="23" spans="1:9" x14ac:dyDescent="0.35">
      <c r="A23" s="1" t="str">
        <f>PROPER(TRIM('Raw Data'!A23))</f>
        <v>Precious Nwosu</v>
      </c>
      <c r="B23" s="1" t="str">
        <f>IF('Raw Data'!B23="","Missing",LOWER(TRIM('Raw Data'!B23)))</f>
        <v>precious.nwosu@gmail.com</v>
      </c>
      <c r="C23" s="1" t="str">
        <f>IF('Raw Data'!C23="","Missing",TRIM('Raw Data'!C23))</f>
        <v>07010737504</v>
      </c>
      <c r="D23" s="1" t="str">
        <f>IF('Raw Data'!D23="","Missing",PROPER(TRIM('Raw Data'!D23)))</f>
        <v>Lagos</v>
      </c>
      <c r="E23" s="3">
        <f>IF(ISNUMBER(SEARCH("/",'Raw Data'!E23)),DATE(VALUE(RIGHT('Raw Data'!E23,4)),VALUE(MID('Raw Data'!E23,4,2)),VALUE(LEFT('Raw Data'!E23,2))),DATE(VALUE(LEFT('Raw Data'!E23,4)),VALUE(MID('Raw Data'!E23,6,2)),VALUE(RIGHT('Raw Data'!E23,2))))</f>
        <v>45440</v>
      </c>
      <c r="F23" s="1" t="str">
        <f>PROPER('Raw Data'!F23)</f>
        <v>Headphones</v>
      </c>
      <c r="G23" s="1">
        <v>4</v>
      </c>
      <c r="H23" s="1">
        <v>70000</v>
      </c>
      <c r="I23" s="1">
        <f t="shared" si="0"/>
        <v>280000</v>
      </c>
    </row>
    <row r="24" spans="1:9" x14ac:dyDescent="0.35">
      <c r="A24" s="1" t="str">
        <f>PROPER(TRIM('Raw Data'!A24))</f>
        <v>Halima Nwachukwu</v>
      </c>
      <c r="B24" s="1" t="str">
        <f>IF('Raw Data'!B24="","Missing",LOWER(TRIM('Raw Data'!B24)))</f>
        <v>halima.nwachukwu@yahoo.com</v>
      </c>
      <c r="C24" s="1" t="str">
        <f>IF('Raw Data'!C24="","Missing",TRIM('Raw Data'!C24))</f>
        <v>0777-412-1547</v>
      </c>
      <c r="D24" s="1" t="str">
        <f>IF('Raw Data'!D24="","Missing",PROPER(TRIM('Raw Data'!D24)))</f>
        <v>Abuja</v>
      </c>
      <c r="E24" s="3">
        <f>IF(ISNUMBER(SEARCH("/",'Raw Data'!E24)),DATE(VALUE(RIGHT('Raw Data'!E24,4)),VALUE(MID('Raw Data'!E24,4,2)),VALUE(LEFT('Raw Data'!E24,2))),DATE(VALUE(LEFT('Raw Data'!E24,4)),VALUE(MID('Raw Data'!E24,6,2)),VALUE(RIGHT('Raw Data'!E24,2))))</f>
        <v>45309</v>
      </c>
      <c r="F24" s="1" t="str">
        <f>PROPER('Raw Data'!F24)</f>
        <v>Sneakers</v>
      </c>
      <c r="G24" s="1">
        <v>4</v>
      </c>
      <c r="H24" s="1">
        <v>40000</v>
      </c>
      <c r="I24" s="1">
        <f t="shared" si="0"/>
        <v>160000</v>
      </c>
    </row>
    <row r="25" spans="1:9" x14ac:dyDescent="0.35">
      <c r="A25" s="1" t="str">
        <f>PROPER(TRIM('Raw Data'!A25))</f>
        <v>Rukayat Adeyemi</v>
      </c>
      <c r="B25" s="1" t="str">
        <f>IF('Raw Data'!B25="","Missing",LOWER(TRIM('Raw Data'!B25)))</f>
        <v>rukayat.adeyemi@gmail.com</v>
      </c>
      <c r="C25" s="1" t="str">
        <f>IF('Raw Data'!C25="","Missing",TRIM('Raw Data'!C25))</f>
        <v>0309-260-0267</v>
      </c>
      <c r="D25" s="1" t="str">
        <f>IF('Raw Data'!D25="","Missing",PROPER(TRIM('Raw Data'!D25)))</f>
        <v>Missing</v>
      </c>
      <c r="E25" s="3">
        <f>IF(ISNUMBER(SEARCH("/",'Raw Data'!E25)),DATE(VALUE(RIGHT('Raw Data'!E25,4)),VALUE(MID('Raw Data'!E25,4,2)),VALUE(LEFT('Raw Data'!E25,2))),DATE(VALUE(LEFT('Raw Data'!E25,4)),VALUE(MID('Raw Data'!E25,6,2)),VALUE(RIGHT('Raw Data'!E25,2))))</f>
        <v>45436</v>
      </c>
      <c r="F25" s="1" t="str">
        <f>PROPER('Raw Data'!F25)</f>
        <v>Sneakers</v>
      </c>
      <c r="G25" s="1">
        <v>1</v>
      </c>
      <c r="H25" s="1">
        <v>40000</v>
      </c>
      <c r="I25" s="1">
        <f t="shared" si="0"/>
        <v>40000</v>
      </c>
    </row>
    <row r="26" spans="1:9" x14ac:dyDescent="0.35">
      <c r="A26" s="1" t="str">
        <f>PROPER(TRIM('Raw Data'!A26))</f>
        <v>Aisha Umeh</v>
      </c>
      <c r="B26" s="1" t="str">
        <f>IF('Raw Data'!B26="","Missing",LOWER(TRIM('Raw Data'!B26)))</f>
        <v>aisha.umeh@gmail.com</v>
      </c>
      <c r="C26" s="1" t="str">
        <f>IF('Raw Data'!C26="","Missing",TRIM('Raw Data'!C26))</f>
        <v>06133310014</v>
      </c>
      <c r="D26" s="1" t="str">
        <f>IF('Raw Data'!D26="","Missing",PROPER(TRIM('Raw Data'!D26)))</f>
        <v>Abuja</v>
      </c>
      <c r="E26" s="3">
        <f>IF(ISNUMBER(SEARCH("/",'Raw Data'!E26)),DATE(VALUE(RIGHT('Raw Data'!E26,4)),VALUE(MID('Raw Data'!E26,4,2)),VALUE(LEFT('Raw Data'!E26,2))),DATE(VALUE(LEFT('Raw Data'!E26,4)),VALUE(MID('Raw Data'!E26,6,2)),VALUE(RIGHT('Raw Data'!E26,2))))</f>
        <v>45309</v>
      </c>
      <c r="F26" s="1" t="str">
        <f>PROPER('Raw Data'!F26)</f>
        <v>Laptop</v>
      </c>
      <c r="G26" s="1">
        <v>3</v>
      </c>
      <c r="H26" s="1">
        <v>350000</v>
      </c>
      <c r="I26" s="1">
        <f t="shared" si="0"/>
        <v>1050000</v>
      </c>
    </row>
    <row r="27" spans="1:9" x14ac:dyDescent="0.35">
      <c r="A27" s="1" t="str">
        <f>PROPER(TRIM('Raw Data'!A27))</f>
        <v>Obinna Nwosu</v>
      </c>
      <c r="B27" s="1" t="str">
        <f>IF('Raw Data'!B27="","Missing",LOWER(TRIM('Raw Data'!B27)))</f>
        <v>obinna.nwosu@outlook.com</v>
      </c>
      <c r="C27" s="1" t="str">
        <f>IF('Raw Data'!C27="","Missing",TRIM('Raw Data'!C27))</f>
        <v>02650201462</v>
      </c>
      <c r="D27" s="1" t="str">
        <f>IF('Raw Data'!D27="","Missing",PROPER(TRIM('Raw Data'!D27)))</f>
        <v>Enugu</v>
      </c>
      <c r="E27" s="3">
        <f>IF(ISNUMBER(SEARCH("/",'Raw Data'!E27)),DATE(VALUE(RIGHT('Raw Data'!E27,4)),VALUE(MID('Raw Data'!E27,4,2)),VALUE(LEFT('Raw Data'!E27,2))),DATE(VALUE(LEFT('Raw Data'!E27,4)),VALUE(MID('Raw Data'!E27,6,2)),VALUE(RIGHT('Raw Data'!E27,2))))</f>
        <v>45423</v>
      </c>
      <c r="F27" s="1" t="str">
        <f>PROPER('Raw Data'!F27)</f>
        <v>Blender</v>
      </c>
      <c r="G27" s="1">
        <v>4</v>
      </c>
      <c r="H27" s="1">
        <v>10000</v>
      </c>
      <c r="I27" s="1">
        <f t="shared" si="0"/>
        <v>40000</v>
      </c>
    </row>
    <row r="28" spans="1:9" x14ac:dyDescent="0.35">
      <c r="A28" s="1" t="str">
        <f>PROPER(TRIM('Raw Data'!A28))</f>
        <v>Chiamaka Sanni</v>
      </c>
      <c r="B28" s="1" t="str">
        <f>IF('Raw Data'!B28="","Missing",LOWER(TRIM('Raw Data'!B28)))</f>
        <v>chiamaka.sanni@yahoo.com</v>
      </c>
      <c r="C28" s="1" t="str">
        <f>IF('Raw Data'!C28="","Missing",TRIM('Raw Data'!C28))</f>
        <v>0738-344-9223</v>
      </c>
      <c r="D28" s="1" t="str">
        <f>IF('Raw Data'!D28="","Missing",PROPER(TRIM('Raw Data'!D28)))</f>
        <v>Kano</v>
      </c>
      <c r="E28" s="3">
        <f>IF(ISNUMBER(SEARCH("/",'Raw Data'!E28)),DATE(VALUE(RIGHT('Raw Data'!E28,4)),VALUE(MID('Raw Data'!E28,4,2)),VALUE(LEFT('Raw Data'!E28,2))),DATE(VALUE(LEFT('Raw Data'!E28,4)),VALUE(MID('Raw Data'!E28,6,2)),VALUE(RIGHT('Raw Data'!E28,2))))</f>
        <v>45299</v>
      </c>
      <c r="F28" s="1" t="str">
        <f>PROPER('Raw Data'!F28)</f>
        <v>Wrist Watch</v>
      </c>
      <c r="G28" s="1">
        <v>1</v>
      </c>
      <c r="H28" s="1">
        <v>35000</v>
      </c>
      <c r="I28" s="1">
        <f t="shared" si="0"/>
        <v>35000</v>
      </c>
    </row>
    <row r="29" spans="1:9" x14ac:dyDescent="0.35">
      <c r="A29" s="1" t="str">
        <f>PROPER(TRIM('Raw Data'!A29))</f>
        <v>Chukwudi Obi</v>
      </c>
      <c r="B29" s="1" t="str">
        <f>IF('Raw Data'!B29="","Missing",LOWER(TRIM('Raw Data'!B29)))</f>
        <v>chukwudi.obi@outlook.com</v>
      </c>
      <c r="C29" s="1" t="str">
        <f>IF('Raw Data'!C29="","Missing",TRIM('Raw Data'!C29))</f>
        <v>0075-116-3726</v>
      </c>
      <c r="D29" s="1" t="str">
        <f>IF('Raw Data'!D29="","Missing",PROPER(TRIM('Raw Data'!D29)))</f>
        <v>Port Harcourt</v>
      </c>
      <c r="E29" s="3">
        <f>IF(ISNUMBER(SEARCH("/",'Raw Data'!E29)),DATE(VALUE(RIGHT('Raw Data'!E29,4)),VALUE(MID('Raw Data'!E29,4,2)),VALUE(LEFT('Raw Data'!E29,2))),DATE(VALUE(LEFT('Raw Data'!E29,4)),VALUE(MID('Raw Data'!E29,6,2)),VALUE(RIGHT('Raw Data'!E29,2))))</f>
        <v>45438</v>
      </c>
      <c r="F29" s="1" t="str">
        <f>PROPER('Raw Data'!F29)</f>
        <v>Laptop</v>
      </c>
      <c r="G29" s="1">
        <v>3</v>
      </c>
      <c r="H29" s="1">
        <v>350000</v>
      </c>
      <c r="I29" s="1">
        <f t="shared" si="0"/>
        <v>1050000</v>
      </c>
    </row>
    <row r="30" spans="1:9" x14ac:dyDescent="0.35">
      <c r="A30" s="1" t="str">
        <f>PROPER(TRIM('Raw Data'!A30))</f>
        <v>Funke Suleiman</v>
      </c>
      <c r="B30" s="1" t="str">
        <f>IF('Raw Data'!B30="","Missing",LOWER(TRIM('Raw Data'!B30)))</f>
        <v>funke.suleiman@outlook.com</v>
      </c>
      <c r="C30" s="1" t="str">
        <f>IF('Raw Data'!C30="","Missing",TRIM('Raw Data'!C30))</f>
        <v>09059582785</v>
      </c>
      <c r="D30" s="1" t="str">
        <f>IF('Raw Data'!D30="","Missing",PROPER(TRIM('Raw Data'!D30)))</f>
        <v>Missing</v>
      </c>
      <c r="E30" s="3">
        <f>IF(ISNUMBER(SEARCH("/",'Raw Data'!E30)),DATE(VALUE(RIGHT('Raw Data'!E30,4)),VALUE(MID('Raw Data'!E30,4,2)),VALUE(LEFT('Raw Data'!E30,2))),DATE(VALUE(LEFT('Raw Data'!E30,4)),VALUE(MID('Raw Data'!E30,6,2)),VALUE(RIGHT('Raw Data'!E30,2))))</f>
        <v>45457</v>
      </c>
      <c r="F30" s="1" t="str">
        <f>PROPER('Raw Data'!F30)</f>
        <v>Laptop</v>
      </c>
      <c r="G30" s="1">
        <v>1</v>
      </c>
      <c r="H30" s="1">
        <v>350000</v>
      </c>
      <c r="I30" s="1">
        <f t="shared" si="0"/>
        <v>350000</v>
      </c>
    </row>
    <row r="31" spans="1:9" x14ac:dyDescent="0.35">
      <c r="A31" s="1" t="str">
        <f>PROPER(TRIM('Raw Data'!A31))</f>
        <v>Segun Obi</v>
      </c>
      <c r="B31" s="1" t="str">
        <f>IF('Raw Data'!B31="","Missing",LOWER(TRIM('Raw Data'!B31)))</f>
        <v>segun.obi@yahoo.com</v>
      </c>
      <c r="C31" s="1" t="str">
        <f>IF('Raw Data'!C31="","Missing",TRIM('Raw Data'!C31))</f>
        <v>0724-920-8682</v>
      </c>
      <c r="D31" s="1" t="str">
        <f>IF('Raw Data'!D31="","Missing",PROPER(TRIM('Raw Data'!D31)))</f>
        <v>Kano</v>
      </c>
      <c r="E31" s="3">
        <f>IF(ISNUMBER(SEARCH("/",'Raw Data'!E31)),DATE(VALUE(RIGHT('Raw Data'!E31,4)),VALUE(MID('Raw Data'!E31,4,2)),VALUE(LEFT('Raw Data'!E31,2))),DATE(VALUE(LEFT('Raw Data'!E31,4)),VALUE(MID('Raw Data'!E31,6,2)),VALUE(RIGHT('Raw Data'!E31,2))))</f>
        <v>45458</v>
      </c>
      <c r="F31" s="1" t="str">
        <f>PROPER('Raw Data'!F31)</f>
        <v>Smartphone</v>
      </c>
      <c r="G31" s="1">
        <v>5</v>
      </c>
      <c r="H31" s="1">
        <v>250000</v>
      </c>
      <c r="I31" s="1">
        <f t="shared" si="0"/>
        <v>1250000</v>
      </c>
    </row>
    <row r="32" spans="1:9" x14ac:dyDescent="0.35">
      <c r="A32" s="1" t="str">
        <f>PROPER(TRIM('Raw Data'!A32))</f>
        <v>Kelechi Obi</v>
      </c>
      <c r="B32" s="1" t="str">
        <f>IF('Raw Data'!B32="","Missing",LOWER(TRIM('Raw Data'!B32)))</f>
        <v>kelechi.obi@yahoo.com</v>
      </c>
      <c r="C32" s="1" t="str">
        <f>IF('Raw Data'!C32="","Missing",TRIM('Raw Data'!C32))</f>
        <v>09873200080</v>
      </c>
      <c r="D32" s="1" t="str">
        <f>IF('Raw Data'!D32="","Missing",PROPER(TRIM('Raw Data'!D32)))</f>
        <v>Abuja</v>
      </c>
      <c r="E32" s="3">
        <f>IF(ISNUMBER(SEARCH("/",'Raw Data'!E32)),DATE(VALUE(RIGHT('Raw Data'!E32,4)),VALUE(MID('Raw Data'!E32,4,2)),VALUE(LEFT('Raw Data'!E32,2))),DATE(VALUE(LEFT('Raw Data'!E32,4)),VALUE(MID('Raw Data'!E32,6,2)),VALUE(RIGHT('Raw Data'!E32,2))))</f>
        <v>45458</v>
      </c>
      <c r="F32" s="1" t="str">
        <f>PROPER('Raw Data'!F32)</f>
        <v>Blender</v>
      </c>
      <c r="G32" s="1">
        <v>5</v>
      </c>
      <c r="H32" s="1">
        <v>10000</v>
      </c>
      <c r="I32" s="1">
        <f t="shared" si="0"/>
        <v>50000</v>
      </c>
    </row>
    <row r="33" spans="1:9" x14ac:dyDescent="0.35">
      <c r="A33" s="1" t="str">
        <f>PROPER(TRIM('Raw Data'!A33))</f>
        <v>Ibrahim Sanni</v>
      </c>
      <c r="B33" s="1" t="str">
        <f>IF('Raw Data'!B33="","Missing",LOWER(TRIM('Raw Data'!B33)))</f>
        <v>ibrahim.sanni@outlook.com</v>
      </c>
      <c r="C33" s="1" t="str">
        <f>IF('Raw Data'!C33="","Missing",TRIM('Raw Data'!C33))</f>
        <v>0620-579-8682</v>
      </c>
      <c r="D33" s="1" t="str">
        <f>IF('Raw Data'!D33="","Missing",PROPER(TRIM('Raw Data'!D33)))</f>
        <v>Kano</v>
      </c>
      <c r="E33" s="3">
        <f>IF(ISNUMBER(SEARCH("/",'Raw Data'!E33)),DATE(VALUE(RIGHT('Raw Data'!E33,4)),VALUE(MID('Raw Data'!E33,4,2)),VALUE(LEFT('Raw Data'!E33,2))),DATE(VALUE(LEFT('Raw Data'!E33,4)),VALUE(MID('Raw Data'!E33,6,2)),VALUE(RIGHT('Raw Data'!E33,2))))</f>
        <v>45427</v>
      </c>
      <c r="F33" s="1" t="str">
        <f>PROPER('Raw Data'!F33)</f>
        <v>Wrist Watch</v>
      </c>
      <c r="G33" s="1">
        <v>4</v>
      </c>
      <c r="H33" s="1">
        <v>35000</v>
      </c>
      <c r="I33" s="1">
        <f t="shared" si="0"/>
        <v>140000</v>
      </c>
    </row>
    <row r="34" spans="1:9" x14ac:dyDescent="0.35">
      <c r="A34" s="1" t="str">
        <f>PROPER(TRIM('Raw Data'!A34))</f>
        <v>Chiamaka Yusuf</v>
      </c>
      <c r="B34" s="1" t="str">
        <f>IF('Raw Data'!B34="","Missing",LOWER(TRIM('Raw Data'!B34)))</f>
        <v>Missing</v>
      </c>
      <c r="C34" s="1" t="str">
        <f>IF('Raw Data'!C34="","Missing",TRIM('Raw Data'!C34))</f>
        <v>0332-493-5164</v>
      </c>
      <c r="D34" s="1" t="str">
        <f>IF('Raw Data'!D34="","Missing",PROPER(TRIM('Raw Data'!D34)))</f>
        <v>Kano</v>
      </c>
      <c r="E34" s="3">
        <f>IF(ISNUMBER(SEARCH("/",'Raw Data'!E34)),DATE(VALUE(RIGHT('Raw Data'!E34,4)),VALUE(MID('Raw Data'!E34,4,2)),VALUE(LEFT('Raw Data'!E34,2))),DATE(VALUE(LEFT('Raw Data'!E34,4)),VALUE(MID('Raw Data'!E34,6,2)),VALUE(RIGHT('Raw Data'!E34,2))))</f>
        <v>45306</v>
      </c>
      <c r="F34" s="1" t="str">
        <f>PROPER('Raw Data'!F34)</f>
        <v>Wrist Watch</v>
      </c>
      <c r="G34" s="1">
        <v>5</v>
      </c>
      <c r="H34" s="1">
        <v>35000</v>
      </c>
      <c r="I34" s="1">
        <f t="shared" ref="I34:I65" si="1">G34*H34</f>
        <v>175000</v>
      </c>
    </row>
    <row r="35" spans="1:9" x14ac:dyDescent="0.35">
      <c r="A35" s="1" t="str">
        <f>PROPER(TRIM('Raw Data'!A35))</f>
        <v>Wale Chukwu</v>
      </c>
      <c r="B35" s="1" t="str">
        <f>IF('Raw Data'!B35="","Missing",LOWER(TRIM('Raw Data'!B35)))</f>
        <v>wale.chukwu@outlook.com</v>
      </c>
      <c r="C35" s="1" t="str">
        <f>IF('Raw Data'!C35="","Missing",TRIM('Raw Data'!C35))</f>
        <v>0983-478-8783</v>
      </c>
      <c r="D35" s="1" t="str">
        <f>IF('Raw Data'!D35="","Missing",PROPER(TRIM('Raw Data'!D35)))</f>
        <v>Port Harcourt</v>
      </c>
      <c r="E35" s="3">
        <f>IF(ISNUMBER(SEARCH("/",'Raw Data'!E35)),DATE(VALUE(RIGHT('Raw Data'!E35,4)),VALUE(MID('Raw Data'!E35,4,2)),VALUE(LEFT('Raw Data'!E35,2))),DATE(VALUE(LEFT('Raw Data'!E35,4)),VALUE(MID('Raw Data'!E35,6,2)),VALUE(RIGHT('Raw Data'!E35,2))))</f>
        <v>45317</v>
      </c>
      <c r="F35" s="1" t="str">
        <f>PROPER('Raw Data'!F35)</f>
        <v>Laptop</v>
      </c>
      <c r="G35" s="1">
        <v>4</v>
      </c>
      <c r="H35" s="1">
        <v>350000</v>
      </c>
      <c r="I35" s="1">
        <f t="shared" si="1"/>
        <v>1400000</v>
      </c>
    </row>
    <row r="36" spans="1:9" x14ac:dyDescent="0.35">
      <c r="A36" s="1" t="str">
        <f>PROPER(TRIM('Raw Data'!A36))</f>
        <v>Funke Obi</v>
      </c>
      <c r="B36" s="1" t="str">
        <f>IF('Raw Data'!B36="","Missing",LOWER(TRIM('Raw Data'!B36)))</f>
        <v>funke.obi@gmail.com</v>
      </c>
      <c r="C36" s="1" t="str">
        <f>IF('Raw Data'!C36="","Missing",TRIM('Raw Data'!C36))</f>
        <v>Missing</v>
      </c>
      <c r="D36" s="1" t="str">
        <f>IF('Raw Data'!D36="","Missing",PROPER(TRIM('Raw Data'!D36)))</f>
        <v>Abuja</v>
      </c>
      <c r="E36" s="3">
        <f>IF(ISNUMBER(SEARCH("/",'Raw Data'!E36)),DATE(VALUE(RIGHT('Raw Data'!E36,4)),VALUE(MID('Raw Data'!E36,4,2)),VALUE(LEFT('Raw Data'!E36,2))),DATE(VALUE(LEFT('Raw Data'!E36,4)),VALUE(MID('Raw Data'!E36,6,2)),VALUE(RIGHT('Raw Data'!E36,2))))</f>
        <v>45468</v>
      </c>
      <c r="F36" s="1" t="str">
        <f>PROPER('Raw Data'!F36)</f>
        <v>Wrist Watch</v>
      </c>
      <c r="G36" s="1">
        <v>4</v>
      </c>
      <c r="H36" s="1">
        <v>35000</v>
      </c>
      <c r="I36" s="1">
        <f t="shared" si="1"/>
        <v>140000</v>
      </c>
    </row>
    <row r="37" spans="1:9" x14ac:dyDescent="0.35">
      <c r="A37" s="1" t="str">
        <f>PROPER(TRIM('Raw Data'!A38))</f>
        <v>Abdullahi Yusuf</v>
      </c>
      <c r="B37" s="1" t="str">
        <f>IF('Raw Data'!B38="","Missing",LOWER(TRIM('Raw Data'!B38)))</f>
        <v>abdullahi.yusuf@gmail.com</v>
      </c>
      <c r="C37" s="1" t="str">
        <f>IF('Raw Data'!C38="","Missing",TRIM('Raw Data'!C38))</f>
        <v>0616-751-3613</v>
      </c>
      <c r="D37" s="1" t="str">
        <f>IF('Raw Data'!D38="","Missing",PROPER(TRIM('Raw Data'!D38)))</f>
        <v>Lagos</v>
      </c>
      <c r="E37" s="3">
        <f>IF(ISNUMBER(SEARCH("/",'Raw Data'!E37)),DATE(VALUE(RIGHT('Raw Data'!E37,4)),VALUE(MID('Raw Data'!E37,4,2)),VALUE(LEFT('Raw Data'!E37,2))),DATE(VALUE(LEFT('Raw Data'!E37,4)),VALUE(MID('Raw Data'!E37,6,2)),VALUE(RIGHT('Raw Data'!E37,2))))</f>
        <v>45306</v>
      </c>
      <c r="F37" s="1" t="str">
        <f>PROPER('Raw Data'!F38)</f>
        <v>Blender</v>
      </c>
      <c r="G37" s="1">
        <v>2</v>
      </c>
      <c r="H37" s="1">
        <v>10000</v>
      </c>
      <c r="I37" s="1">
        <f t="shared" si="1"/>
        <v>20000</v>
      </c>
    </row>
    <row r="38" spans="1:9" x14ac:dyDescent="0.35">
      <c r="A38" s="1" t="str">
        <f>PROPER(TRIM('Raw Data'!A39))</f>
        <v>Chiamaka Afolabi</v>
      </c>
      <c r="B38" s="1" t="str">
        <f>IF('Raw Data'!B39="","Missing",LOWER(TRIM('Raw Data'!B39)))</f>
        <v>chiamaka.afolabi9@yahoo.com</v>
      </c>
      <c r="C38" s="1" t="str">
        <f>IF('Raw Data'!C39="","Missing",TRIM('Raw Data'!C39))</f>
        <v>0859-952-8907</v>
      </c>
      <c r="D38" s="1" t="str">
        <f>IF('Raw Data'!D39="","Missing",PROPER(TRIM('Raw Data'!D39)))</f>
        <v>Missing</v>
      </c>
      <c r="E38" s="3">
        <f>IF(ISNUMBER(SEARCH("/",'Raw Data'!E38)),DATE(VALUE(RIGHT('Raw Data'!E38,4)),VALUE(MID('Raw Data'!E38,4,2)),VALUE(LEFT('Raw Data'!E38,2))),DATE(VALUE(LEFT('Raw Data'!E38,4)),VALUE(MID('Raw Data'!E38,6,2)),VALUE(RIGHT('Raw Data'!E38,2))))</f>
        <v>45451</v>
      </c>
      <c r="F38" s="1" t="str">
        <f>PROPER('Raw Data'!F39)</f>
        <v>Handbag</v>
      </c>
      <c r="G38" s="1">
        <v>3</v>
      </c>
      <c r="H38" s="1">
        <v>5000</v>
      </c>
      <c r="I38" s="1">
        <f t="shared" si="1"/>
        <v>15000</v>
      </c>
    </row>
    <row r="39" spans="1:9" x14ac:dyDescent="0.35">
      <c r="A39" s="1" t="str">
        <f>PROPER(TRIM('Raw Data'!A40))</f>
        <v>Fatima Abubakar</v>
      </c>
      <c r="B39" s="1" t="str">
        <f>IF('Raw Data'!B40="","Missing",LOWER(TRIM('Raw Data'!B40)))</f>
        <v>fatima.abubakar@yahoo.com</v>
      </c>
      <c r="C39" s="1" t="str">
        <f>IF('Raw Data'!C40="","Missing",TRIM('Raw Data'!C40))</f>
        <v>03287046557</v>
      </c>
      <c r="D39" s="1" t="str">
        <f>IF('Raw Data'!D40="","Missing",PROPER(TRIM('Raw Data'!D40)))</f>
        <v>Lagos</v>
      </c>
      <c r="E39" s="3">
        <f>IF(ISNUMBER(SEARCH("/",'Raw Data'!E39)),DATE(VALUE(RIGHT('Raw Data'!E39,4)),VALUE(MID('Raw Data'!E39,4,2)),VALUE(LEFT('Raw Data'!E39,2))),DATE(VALUE(LEFT('Raw Data'!E39,4)),VALUE(MID('Raw Data'!E39,6,2)),VALUE(RIGHT('Raw Data'!E39,2))))</f>
        <v>45417</v>
      </c>
      <c r="F39" s="1" t="str">
        <f>PROPER('Raw Data'!F40)</f>
        <v>Television</v>
      </c>
      <c r="G39" s="1">
        <v>1</v>
      </c>
      <c r="H39" s="1">
        <v>300000</v>
      </c>
      <c r="I39" s="1">
        <f t="shared" si="1"/>
        <v>300000</v>
      </c>
    </row>
    <row r="40" spans="1:9" x14ac:dyDescent="0.35">
      <c r="A40" s="1" t="str">
        <f>PROPER(TRIM('Raw Data'!A41))</f>
        <v>Zainab Yusuf</v>
      </c>
      <c r="B40" s="1" t="str">
        <f>IF('Raw Data'!B41="","Missing",LOWER(TRIM('Raw Data'!B41)))</f>
        <v>zainab.yusuf@gmail.com</v>
      </c>
      <c r="C40" s="1" t="str">
        <f>IF('Raw Data'!C41="","Missing",TRIM('Raw Data'!C41))</f>
        <v>Missing</v>
      </c>
      <c r="D40" s="1" t="str">
        <f>IF('Raw Data'!D41="","Missing",PROPER(TRIM('Raw Data'!D41)))</f>
        <v>Lagos</v>
      </c>
      <c r="E40" s="3">
        <f>IF(ISNUMBER(SEARCH("/",'Raw Data'!E40)),DATE(VALUE(RIGHT('Raw Data'!E40,4)),VALUE(MID('Raw Data'!E40,4,2)),VALUE(LEFT('Raw Data'!E40,2))),DATE(VALUE(LEFT('Raw Data'!E40,4)),VALUE(MID('Raw Data'!E40,6,2)),VALUE(RIGHT('Raw Data'!E40,2))))</f>
        <v>45398</v>
      </c>
      <c r="F40" s="1" t="str">
        <f>PROPER('Raw Data'!F41)</f>
        <v>Television</v>
      </c>
      <c r="G40" s="1">
        <v>4</v>
      </c>
      <c r="H40" s="1">
        <v>300000</v>
      </c>
      <c r="I40" s="1">
        <f t="shared" si="1"/>
        <v>1200000</v>
      </c>
    </row>
    <row r="41" spans="1:9" x14ac:dyDescent="0.35">
      <c r="A41" s="1" t="str">
        <f>PROPER(TRIM('Raw Data'!A42))</f>
        <v>Chiamaka Sanni</v>
      </c>
      <c r="B41" s="1" t="str">
        <f>IF('Raw Data'!B42="","Missing",LOWER(TRIM('Raw Data'!B42)))</f>
        <v>chiamaka.sanni@yahoo.com</v>
      </c>
      <c r="C41" s="1" t="str">
        <f>IF('Raw Data'!C42="","Missing",TRIM('Raw Data'!C42))</f>
        <v>03372117815</v>
      </c>
      <c r="D41" s="1" t="str">
        <f>IF('Raw Data'!D42="","Missing",PROPER(TRIM('Raw Data'!D42)))</f>
        <v>Ibadan</v>
      </c>
      <c r="E41" s="3">
        <f>IF(ISNUMBER(SEARCH("/",'Raw Data'!E41)),DATE(VALUE(RIGHT('Raw Data'!E41,4)),VALUE(MID('Raw Data'!E41,4,2)),VALUE(LEFT('Raw Data'!E41,2))),DATE(VALUE(LEFT('Raw Data'!E41,4)),VALUE(MID('Raw Data'!E41,6,2)),VALUE(RIGHT('Raw Data'!E41,2))))</f>
        <v>45438</v>
      </c>
      <c r="F41" s="1" t="str">
        <f>PROPER('Raw Data'!F42)</f>
        <v>Smartphone</v>
      </c>
      <c r="G41" s="1">
        <v>3</v>
      </c>
      <c r="H41" s="1">
        <v>250000</v>
      </c>
      <c r="I41" s="1">
        <f t="shared" si="1"/>
        <v>750000</v>
      </c>
    </row>
    <row r="42" spans="1:9" x14ac:dyDescent="0.35">
      <c r="A42" s="1" t="str">
        <f>PROPER(TRIM('Raw Data'!A44))</f>
        <v>Segun Ibrahim</v>
      </c>
      <c r="B42" s="1" t="str">
        <f>IF('Raw Data'!B44="","Missing",LOWER(TRIM('Raw Data'!B44)))</f>
        <v>segun.ibrahim@gmail.com</v>
      </c>
      <c r="C42" s="1" t="str">
        <f>IF('Raw Data'!C44="","Missing",TRIM('Raw Data'!C44))</f>
        <v>07316723268</v>
      </c>
      <c r="D42" s="1" t="str">
        <f>IF('Raw Data'!D44="","Missing",PROPER(TRIM('Raw Data'!D44)))</f>
        <v>Ibadan</v>
      </c>
      <c r="E42" s="3">
        <f>IF(ISNUMBER(SEARCH("/",'Raw Data'!E42)),DATE(VALUE(RIGHT('Raw Data'!E42,4)),VALUE(MID('Raw Data'!E42,4,2)),VALUE(LEFT('Raw Data'!E42,2))),DATE(VALUE(LEFT('Raw Data'!E42,4)),VALUE(MID('Raw Data'!E42,6,2)),VALUE(RIGHT('Raw Data'!E42,2))))</f>
        <v>45303</v>
      </c>
      <c r="F42" s="1" t="str">
        <f>PROPER('Raw Data'!F44)</f>
        <v>Laptop</v>
      </c>
      <c r="G42" s="1">
        <v>2</v>
      </c>
      <c r="H42" s="1">
        <v>350000</v>
      </c>
      <c r="I42" s="1">
        <f t="shared" si="1"/>
        <v>700000</v>
      </c>
    </row>
    <row r="43" spans="1:9" x14ac:dyDescent="0.35">
      <c r="A43" s="1" t="str">
        <f>PROPER(TRIM('Raw Data'!A45))</f>
        <v>Wale Yusuf</v>
      </c>
      <c r="B43" s="1" t="str">
        <f>IF('Raw Data'!B45="","Missing",LOWER(TRIM('Raw Data'!B45)))</f>
        <v>wale.yusuf@outlook.com</v>
      </c>
      <c r="C43" s="1" t="str">
        <f>IF('Raw Data'!C45="","Missing",TRIM('Raw Data'!C45))</f>
        <v>0706-360-6071</v>
      </c>
      <c r="D43" s="1" t="str">
        <f>IF('Raw Data'!D45="","Missing",PROPER(TRIM('Raw Data'!D45)))</f>
        <v>Lagos</v>
      </c>
      <c r="E43" s="3">
        <f>IF(ISNUMBER(SEARCH("/",'Raw Data'!E43)),DATE(VALUE(RIGHT('Raw Data'!E43,4)),VALUE(MID('Raw Data'!E43,4,2)),VALUE(LEFT('Raw Data'!E43,2))),DATE(VALUE(LEFT('Raw Data'!E43,4)),VALUE(MID('Raw Data'!E43,6,2)),VALUE(RIGHT('Raw Data'!E43,2))))</f>
        <v>45350</v>
      </c>
      <c r="F43" s="1" t="str">
        <f>PROPER('Raw Data'!F45)</f>
        <v>Headphones</v>
      </c>
      <c r="G43" s="1">
        <v>1</v>
      </c>
      <c r="H43" s="1">
        <v>70000</v>
      </c>
      <c r="I43" s="1">
        <f t="shared" si="1"/>
        <v>70000</v>
      </c>
    </row>
    <row r="44" spans="1:9" x14ac:dyDescent="0.35">
      <c r="A44" s="1" t="str">
        <f>PROPER(TRIM('Raw Data'!A46))</f>
        <v>Fatima Umeh</v>
      </c>
      <c r="B44" s="1" t="str">
        <f>IF('Raw Data'!B46="","Missing",LOWER(TRIM('Raw Data'!B46)))</f>
        <v>fatima.umeh@gmail.com</v>
      </c>
      <c r="C44" s="1" t="str">
        <f>IF('Raw Data'!C46="","Missing",TRIM('Raw Data'!C46))</f>
        <v>0704-718-7463</v>
      </c>
      <c r="D44" s="1" t="str">
        <f>IF('Raw Data'!D46="","Missing",PROPER(TRIM('Raw Data'!D46)))</f>
        <v>Abuja</v>
      </c>
      <c r="E44" s="3">
        <f>IF(ISNUMBER(SEARCH("/",'Raw Data'!E44)),DATE(VALUE(RIGHT('Raw Data'!E44,4)),VALUE(MID('Raw Data'!E44,4,2)),VALUE(LEFT('Raw Data'!E44,2))),DATE(VALUE(LEFT('Raw Data'!E44,4)),VALUE(MID('Raw Data'!E44,6,2)),VALUE(RIGHT('Raw Data'!E44,2))))</f>
        <v>45378</v>
      </c>
      <c r="F44" s="1" t="str">
        <f>PROPER('Raw Data'!F46)</f>
        <v>Wrist Watch</v>
      </c>
      <c r="G44" s="1">
        <v>5</v>
      </c>
      <c r="H44" s="1">
        <v>35000</v>
      </c>
      <c r="I44" s="1">
        <f t="shared" si="1"/>
        <v>175000</v>
      </c>
    </row>
    <row r="45" spans="1:9" x14ac:dyDescent="0.35">
      <c r="A45" s="1" t="str">
        <f>PROPER(TRIM('Raw Data'!A47))</f>
        <v>Segun Ibrahim</v>
      </c>
      <c r="B45" s="1" t="str">
        <f>IF('Raw Data'!B47="","Missing",LOWER(TRIM('Raw Data'!B47)))</f>
        <v>segun.ibrahim@gmail.com</v>
      </c>
      <c r="C45" s="1" t="str">
        <f>IF('Raw Data'!C47="","Missing",TRIM('Raw Data'!C47))</f>
        <v>0732-904-8449</v>
      </c>
      <c r="D45" s="1" t="str">
        <f>IF('Raw Data'!D47="","Missing",PROPER(TRIM('Raw Data'!D47)))</f>
        <v>Port Harcourt</v>
      </c>
      <c r="E45" s="3">
        <f>IF(ISNUMBER(SEARCH("/",'Raw Data'!E45)),DATE(VALUE(RIGHT('Raw Data'!E45,4)),VALUE(MID('Raw Data'!E45,4,2)),VALUE(LEFT('Raw Data'!E45,2))),DATE(VALUE(LEFT('Raw Data'!E45,4)),VALUE(MID('Raw Data'!E45,6,2)),VALUE(RIGHT('Raw Data'!E45,2))))</f>
        <v>45399</v>
      </c>
      <c r="F45" s="1" t="str">
        <f>PROPER('Raw Data'!F47)</f>
        <v>Wrist Watch</v>
      </c>
      <c r="G45" s="1">
        <v>4</v>
      </c>
      <c r="H45" s="1">
        <v>35000</v>
      </c>
      <c r="I45" s="1">
        <f t="shared" si="1"/>
        <v>140000</v>
      </c>
    </row>
    <row r="46" spans="1:9" x14ac:dyDescent="0.35">
      <c r="A46" s="1" t="str">
        <f>PROPER(TRIM('Raw Data'!A48))</f>
        <v>Precious Okafor</v>
      </c>
      <c r="B46" s="1" t="str">
        <f>IF('Raw Data'!B48="","Missing",LOWER(TRIM('Raw Data'!B48)))</f>
        <v>precious.okafor@outlook.com</v>
      </c>
      <c r="C46" s="1" t="str">
        <f>IF('Raw Data'!C48="","Missing",TRIM('Raw Data'!C48))</f>
        <v>Missing</v>
      </c>
      <c r="D46" s="1" t="str">
        <f>IF('Raw Data'!D48="","Missing",PROPER(TRIM('Raw Data'!D48)))</f>
        <v>Port Harcourt</v>
      </c>
      <c r="E46" s="3">
        <f>IF(ISNUMBER(SEARCH("/",'Raw Data'!E46)),DATE(VALUE(RIGHT('Raw Data'!E46,4)),VALUE(MID('Raw Data'!E46,4,2)),VALUE(LEFT('Raw Data'!E46,2))),DATE(VALUE(LEFT('Raw Data'!E46,4)),VALUE(MID('Raw Data'!E46,6,2)),VALUE(RIGHT('Raw Data'!E46,2))))</f>
        <v>45343</v>
      </c>
      <c r="F46" s="1" t="str">
        <f>PROPER('Raw Data'!F48)</f>
        <v>Laptop</v>
      </c>
      <c r="G46" s="1">
        <v>3</v>
      </c>
      <c r="H46" s="1">
        <v>350000</v>
      </c>
      <c r="I46" s="1">
        <f t="shared" si="1"/>
        <v>1050000</v>
      </c>
    </row>
    <row r="47" spans="1:9" x14ac:dyDescent="0.35">
      <c r="A47" s="1" t="str">
        <f>PROPER(TRIM('Raw Data'!A49))</f>
        <v>Ngozi Yusuf</v>
      </c>
      <c r="B47" s="1" t="str">
        <f>IF('Raw Data'!B49="","Missing",LOWER(TRIM('Raw Data'!B49)))</f>
        <v>ngozi.yusuf@gmail.com</v>
      </c>
      <c r="C47" s="1" t="str">
        <f>IF('Raw Data'!C49="","Missing",TRIM('Raw Data'!C49))</f>
        <v>0366-712-7684</v>
      </c>
      <c r="D47" s="1" t="str">
        <f>IF('Raw Data'!D49="","Missing",PROPER(TRIM('Raw Data'!D49)))</f>
        <v>Missing</v>
      </c>
      <c r="E47" s="3">
        <f>IF(ISNUMBER(SEARCH("/",'Raw Data'!E47)),DATE(VALUE(RIGHT('Raw Data'!E47,4)),VALUE(MID('Raw Data'!E47,4,2)),VALUE(LEFT('Raw Data'!E47,2))),DATE(VALUE(LEFT('Raw Data'!E47,4)),VALUE(MID('Raw Data'!E47,6,2)),VALUE(RIGHT('Raw Data'!E47,2))))</f>
        <v>45423</v>
      </c>
      <c r="F47" s="1" t="str">
        <f>PROPER('Raw Data'!F49)</f>
        <v>Smartphone</v>
      </c>
      <c r="G47" s="1">
        <v>2</v>
      </c>
      <c r="H47" s="1">
        <v>250000</v>
      </c>
      <c r="I47" s="1">
        <f t="shared" si="1"/>
        <v>500000</v>
      </c>
    </row>
    <row r="48" spans="1:9" x14ac:dyDescent="0.35">
      <c r="A48" s="1" t="str">
        <f>PROPER(TRIM('Raw Data'!A50))</f>
        <v>Amaka Bello</v>
      </c>
      <c r="B48" s="1" t="str">
        <f>IF('Raw Data'!B50="","Missing",LOWER(TRIM('Raw Data'!B50)))</f>
        <v>amaka.bello@gmail.com</v>
      </c>
      <c r="C48" s="1" t="str">
        <f>IF('Raw Data'!C50="","Missing",TRIM('Raw Data'!C50))</f>
        <v>09575513137</v>
      </c>
      <c r="D48" s="1" t="str">
        <f>IF('Raw Data'!D50="","Missing",PROPER(TRIM('Raw Data'!D50)))</f>
        <v>Abuja</v>
      </c>
      <c r="E48" s="3">
        <f>IF(ISNUMBER(SEARCH("/",'Raw Data'!E48)),DATE(VALUE(RIGHT('Raw Data'!E48,4)),VALUE(MID('Raw Data'!E48,4,2)),VALUE(LEFT('Raw Data'!E48,2))),DATE(VALUE(LEFT('Raw Data'!E48,4)),VALUE(MID('Raw Data'!E48,6,2)),VALUE(RIGHT('Raw Data'!E48,2))))</f>
        <v>45315</v>
      </c>
      <c r="F48" s="1" t="str">
        <f>PROPER('Raw Data'!F50)</f>
        <v>Blender</v>
      </c>
      <c r="G48" s="1">
        <v>5</v>
      </c>
      <c r="H48" s="1">
        <v>10000</v>
      </c>
      <c r="I48" s="1">
        <f t="shared" si="1"/>
        <v>50000</v>
      </c>
    </row>
    <row r="49" spans="1:9" x14ac:dyDescent="0.35">
      <c r="A49" s="1" t="str">
        <f>PROPER(TRIM('Raw Data'!A51))</f>
        <v>Sani Okafor</v>
      </c>
      <c r="B49" s="1" t="str">
        <f>IF('Raw Data'!B51="","Missing",LOWER(TRIM('Raw Data'!B51)))</f>
        <v>sani.okafor34@gmail.com</v>
      </c>
      <c r="C49" s="1" t="str">
        <f>IF('Raw Data'!C51="","Missing",TRIM('Raw Data'!C51))</f>
        <v>0269-060-4431</v>
      </c>
      <c r="D49" s="1" t="str">
        <f>IF('Raw Data'!D51="","Missing",PROPER(TRIM('Raw Data'!D51)))</f>
        <v>Kano</v>
      </c>
      <c r="E49" s="3">
        <f>IF(ISNUMBER(SEARCH("/",'Raw Data'!E49)),DATE(VALUE(RIGHT('Raw Data'!E49,4)),VALUE(MID('Raw Data'!E49,4,2)),VALUE(LEFT('Raw Data'!E49,2))),DATE(VALUE(LEFT('Raw Data'!E49,4)),VALUE(MID('Raw Data'!E49,6,2)),VALUE(RIGHT('Raw Data'!E49,2))))</f>
        <v>45464</v>
      </c>
      <c r="F49" s="1" t="str">
        <f>PROPER('Raw Data'!F51)</f>
        <v>Wrist Watch</v>
      </c>
      <c r="G49" s="1">
        <v>5</v>
      </c>
      <c r="H49" s="1">
        <v>35000</v>
      </c>
      <c r="I49" s="1">
        <f t="shared" si="1"/>
        <v>175000</v>
      </c>
    </row>
    <row r="50" spans="1:9" x14ac:dyDescent="0.35">
      <c r="A50" s="1" t="str">
        <f>PROPER(TRIM('Raw Data'!A52))</f>
        <v>Aisha Obi</v>
      </c>
      <c r="B50" s="1" t="str">
        <f>IF('Raw Data'!B52="","Missing",LOWER(TRIM('Raw Data'!B52)))</f>
        <v>aisha.obi@outlook.com</v>
      </c>
      <c r="C50" s="1" t="str">
        <f>IF('Raw Data'!C52="","Missing",TRIM('Raw Data'!C52))</f>
        <v>0315-827-9401</v>
      </c>
      <c r="D50" s="1" t="str">
        <f>IF('Raw Data'!D52="","Missing",PROPER(TRIM('Raw Data'!D52)))</f>
        <v>Enugu</v>
      </c>
      <c r="E50" s="3">
        <f>IF(ISNUMBER(SEARCH("/",'Raw Data'!E50)),DATE(VALUE(RIGHT('Raw Data'!E50,4)),VALUE(MID('Raw Data'!E50,4,2)),VALUE(LEFT('Raw Data'!E50,2))),DATE(VALUE(LEFT('Raw Data'!E50,4)),VALUE(MID('Raw Data'!E50,6,2)),VALUE(RIGHT('Raw Data'!E50,2))))</f>
        <v>45349</v>
      </c>
      <c r="F50" s="1" t="str">
        <f>PROPER('Raw Data'!F52)</f>
        <v>Handbag</v>
      </c>
      <c r="G50" s="1">
        <v>4</v>
      </c>
      <c r="H50" s="1">
        <v>5000</v>
      </c>
      <c r="I50" s="1">
        <f t="shared" si="1"/>
        <v>20000</v>
      </c>
    </row>
    <row r="51" spans="1:9" x14ac:dyDescent="0.35">
      <c r="A51" s="1" t="str">
        <f>PROPER(TRIM('Raw Data'!A53))</f>
        <v>Emeka Eze</v>
      </c>
      <c r="B51" s="1" t="str">
        <f>IF('Raw Data'!B53="","Missing",LOWER(TRIM('Raw Data'!B53)))</f>
        <v>emeka.eze@gmail.com</v>
      </c>
      <c r="C51" s="1" t="str">
        <f>IF('Raw Data'!C53="","Missing",TRIM('Raw Data'!C53))</f>
        <v>01144024264</v>
      </c>
      <c r="D51" s="1" t="str">
        <f>IF('Raw Data'!D53="","Missing",PROPER(TRIM('Raw Data'!D53)))</f>
        <v>Kano</v>
      </c>
      <c r="E51" s="3">
        <f>IF(ISNUMBER(SEARCH("/",'Raw Data'!E51)),DATE(VALUE(RIGHT('Raw Data'!E51,4)),VALUE(MID('Raw Data'!E51,4,2)),VALUE(LEFT('Raw Data'!E51,2))),DATE(VALUE(LEFT('Raw Data'!E51,4)),VALUE(MID('Raw Data'!E51,6,2)),VALUE(RIGHT('Raw Data'!E51,2))))</f>
        <v>45367</v>
      </c>
      <c r="F51" s="1" t="str">
        <f>PROPER('Raw Data'!F53)</f>
        <v>Sneakers</v>
      </c>
      <c r="G51" s="1">
        <v>5</v>
      </c>
      <c r="H51" s="1">
        <v>40000</v>
      </c>
      <c r="I51" s="1">
        <f t="shared" si="1"/>
        <v>200000</v>
      </c>
    </row>
    <row r="52" spans="1:9" x14ac:dyDescent="0.35">
      <c r="A52" s="1" t="str">
        <f>PROPER(TRIM('Raw Data'!A54))</f>
        <v>Emeka Bello</v>
      </c>
      <c r="B52" s="1" t="str">
        <f>IF('Raw Data'!B54="","Missing",LOWER(TRIM('Raw Data'!B54)))</f>
        <v>emeka.bello@yahoo.com</v>
      </c>
      <c r="C52" s="1" t="str">
        <f>IF('Raw Data'!C54="","Missing",TRIM('Raw Data'!C54))</f>
        <v>0058-649-2083</v>
      </c>
      <c r="D52" s="1" t="str">
        <f>IF('Raw Data'!D54="","Missing",PROPER(TRIM('Raw Data'!D54)))</f>
        <v>Missing</v>
      </c>
      <c r="E52" s="3">
        <f>IF(ISNUMBER(SEARCH("/",'Raw Data'!E52)),DATE(VALUE(RIGHT('Raw Data'!E52,4)),VALUE(MID('Raw Data'!E52,4,2)),VALUE(LEFT('Raw Data'!E52,2))),DATE(VALUE(LEFT('Raw Data'!E52,4)),VALUE(MID('Raw Data'!E52,6,2)),VALUE(RIGHT('Raw Data'!E52,2))))</f>
        <v>45343</v>
      </c>
      <c r="F52" s="1" t="str">
        <f>PROPER('Raw Data'!F54)</f>
        <v>Smartphone</v>
      </c>
      <c r="G52" s="1">
        <v>4</v>
      </c>
      <c r="H52" s="1">
        <v>250000</v>
      </c>
      <c r="I52" s="1">
        <f t="shared" si="1"/>
        <v>1000000</v>
      </c>
    </row>
    <row r="53" spans="1:9" x14ac:dyDescent="0.35">
      <c r="A53" s="1" t="str">
        <f>PROPER(TRIM('Raw Data'!A55))</f>
        <v>Ngozi Bello</v>
      </c>
      <c r="B53" s="1" t="str">
        <f>IF('Raw Data'!B55="","Missing",LOWER(TRIM('Raw Data'!B55)))</f>
        <v>ngozi.bello@outlook.com</v>
      </c>
      <c r="C53" s="1" t="str">
        <f>IF('Raw Data'!C55="","Missing",TRIM('Raw Data'!C55))</f>
        <v>0423-468-5356</v>
      </c>
      <c r="D53" s="1" t="str">
        <f>IF('Raw Data'!D55="","Missing",PROPER(TRIM('Raw Data'!D55)))</f>
        <v>Enugu</v>
      </c>
      <c r="E53" s="3">
        <f>IF(ISNUMBER(SEARCH("/",'Raw Data'!E53)),DATE(VALUE(RIGHT('Raw Data'!E53,4)),VALUE(MID('Raw Data'!E53,4,2)),VALUE(LEFT('Raw Data'!E53,2))),DATE(VALUE(LEFT('Raw Data'!E53,4)),VALUE(MID('Raw Data'!E53,6,2)),VALUE(RIGHT('Raw Data'!E53,2))))</f>
        <v>45370</v>
      </c>
      <c r="F53" s="1" t="str">
        <f>PROPER('Raw Data'!F55)</f>
        <v>Wrist Watch</v>
      </c>
      <c r="G53" s="1">
        <v>4</v>
      </c>
      <c r="H53" s="1">
        <v>35000</v>
      </c>
      <c r="I53" s="1">
        <f t="shared" si="1"/>
        <v>140000</v>
      </c>
    </row>
    <row r="54" spans="1:9" x14ac:dyDescent="0.35">
      <c r="A54" s="1" t="str">
        <f>PROPER(TRIM('Raw Data'!A56))</f>
        <v>Chinedu Okafor</v>
      </c>
      <c r="B54" s="1" t="str">
        <f>IF('Raw Data'!B56="","Missing",LOWER(TRIM('Raw Data'!B56)))</f>
        <v>Missing</v>
      </c>
      <c r="C54" s="1" t="str">
        <f>IF('Raw Data'!C56="","Missing",TRIM('Raw Data'!C56))</f>
        <v>03943699192</v>
      </c>
      <c r="D54" s="1" t="str">
        <f>IF('Raw Data'!D56="","Missing",PROPER(TRIM('Raw Data'!D56)))</f>
        <v>Lagos</v>
      </c>
      <c r="E54" s="3">
        <f>IF(ISNUMBER(SEARCH("/",'Raw Data'!E54)),DATE(VALUE(RIGHT('Raw Data'!E54,4)),VALUE(MID('Raw Data'!E54,4,2)),VALUE(LEFT('Raw Data'!E54,2))),DATE(VALUE(LEFT('Raw Data'!E54,4)),VALUE(MID('Raw Data'!E54,6,2)),VALUE(RIGHT('Raw Data'!E54,2))))</f>
        <v>45308</v>
      </c>
      <c r="F54" s="1" t="str">
        <f>PROPER('Raw Data'!F56)</f>
        <v>Television</v>
      </c>
      <c r="G54" s="1">
        <v>5</v>
      </c>
      <c r="H54" s="1">
        <v>300000</v>
      </c>
      <c r="I54" s="1">
        <f t="shared" si="1"/>
        <v>1500000</v>
      </c>
    </row>
    <row r="55" spans="1:9" x14ac:dyDescent="0.35">
      <c r="A55" s="1" t="str">
        <f>PROPER(TRIM('Raw Data'!A57))</f>
        <v>Bisi Adekunle</v>
      </c>
      <c r="B55" s="1" t="str">
        <f>IF('Raw Data'!B57="","Missing",LOWER(TRIM('Raw Data'!B57)))</f>
        <v>bisi.adekunle@outlook.com</v>
      </c>
      <c r="C55" s="1" t="str">
        <f>IF('Raw Data'!C57="","Missing",TRIM('Raw Data'!C57))</f>
        <v>0122-202-9729</v>
      </c>
      <c r="D55" s="1" t="str">
        <f>IF('Raw Data'!D57="","Missing",PROPER(TRIM('Raw Data'!D57)))</f>
        <v>Ibadan</v>
      </c>
      <c r="E55" s="3">
        <f>IF(ISNUMBER(SEARCH("/",'Raw Data'!E55)),DATE(VALUE(RIGHT('Raw Data'!E55,4)),VALUE(MID('Raw Data'!E55,4,2)),VALUE(LEFT('Raw Data'!E55,2))),DATE(VALUE(LEFT('Raw Data'!E55,4)),VALUE(MID('Raw Data'!E55,6,2)),VALUE(RIGHT('Raw Data'!E55,2))))</f>
        <v>45323</v>
      </c>
      <c r="F55" s="1" t="str">
        <f>PROPER('Raw Data'!F57)</f>
        <v>Handbag</v>
      </c>
      <c r="G55" s="1">
        <v>3</v>
      </c>
      <c r="H55" s="1">
        <v>5000</v>
      </c>
      <c r="I55" s="1">
        <f t="shared" si="1"/>
        <v>15000</v>
      </c>
    </row>
    <row r="56" spans="1:9" x14ac:dyDescent="0.35">
      <c r="A56" s="1" t="str">
        <f>PROPER(TRIM('Raw Data'!A58))</f>
        <v>Musa Balogun</v>
      </c>
      <c r="B56" s="1" t="str">
        <f>IF('Raw Data'!B58="","Missing",LOWER(TRIM('Raw Data'!B58)))</f>
        <v>musa.balogun@gmail.com</v>
      </c>
      <c r="C56" s="1" t="str">
        <f>IF('Raw Data'!C58="","Missing",TRIM('Raw Data'!C58))</f>
        <v>0895-559-7971</v>
      </c>
      <c r="D56" s="1" t="str">
        <f>IF('Raw Data'!D58="","Missing",PROPER(TRIM('Raw Data'!D58)))</f>
        <v>Port Harcourt</v>
      </c>
      <c r="E56" s="3">
        <f>IF(ISNUMBER(SEARCH("/",'Raw Data'!E56)),DATE(VALUE(RIGHT('Raw Data'!E56,4)),VALUE(MID('Raw Data'!E56,4,2)),VALUE(LEFT('Raw Data'!E56,2))),DATE(VALUE(LEFT('Raw Data'!E56,4)),VALUE(MID('Raw Data'!E56,6,2)),VALUE(RIGHT('Raw Data'!E56,2))))</f>
        <v>45305</v>
      </c>
      <c r="F56" s="1" t="str">
        <f>PROPER('Raw Data'!F58)</f>
        <v>Blender</v>
      </c>
      <c r="G56" s="1">
        <v>2</v>
      </c>
      <c r="H56" s="1">
        <v>10000</v>
      </c>
      <c r="I56" s="1">
        <f t="shared" si="1"/>
        <v>20000</v>
      </c>
    </row>
    <row r="57" spans="1:9" x14ac:dyDescent="0.35">
      <c r="A57" s="1" t="str">
        <f>PROPER(TRIM('Raw Data'!A59))</f>
        <v>Precious Umeh</v>
      </c>
      <c r="B57" s="1" t="str">
        <f>IF('Raw Data'!B59="","Missing",LOWER(TRIM('Raw Data'!B59)))</f>
        <v>precious.umeh@gmail.com</v>
      </c>
      <c r="C57" s="1" t="str">
        <f>IF('Raw Data'!C59="","Missing",TRIM('Raw Data'!C59))</f>
        <v>08033401878</v>
      </c>
      <c r="D57" s="1" t="str">
        <f>IF('Raw Data'!D59="","Missing",PROPER(TRIM('Raw Data'!D59)))</f>
        <v>Lagos</v>
      </c>
      <c r="E57" s="3">
        <f>IF(ISNUMBER(SEARCH("/",'Raw Data'!E57)),DATE(VALUE(RIGHT('Raw Data'!E57,4)),VALUE(MID('Raw Data'!E57,4,2)),VALUE(LEFT('Raw Data'!E57,2))),DATE(VALUE(LEFT('Raw Data'!E57,4)),VALUE(MID('Raw Data'!E57,6,2)),VALUE(RIGHT('Raw Data'!E57,2))))</f>
        <v>45408</v>
      </c>
      <c r="F57" s="1" t="str">
        <f>PROPER('Raw Data'!F59)</f>
        <v>Wrist Watch</v>
      </c>
      <c r="G57" s="1">
        <v>5</v>
      </c>
      <c r="H57" s="1">
        <v>35000</v>
      </c>
      <c r="I57" s="1">
        <f t="shared" si="1"/>
        <v>175000</v>
      </c>
    </row>
    <row r="58" spans="1:9" x14ac:dyDescent="0.35">
      <c r="A58" s="1" t="str">
        <f>PROPER(TRIM('Raw Data'!A60))</f>
        <v>Victor Ibrahim</v>
      </c>
      <c r="B58" s="1" t="str">
        <f>IF('Raw Data'!B60="","Missing",LOWER(TRIM('Raw Data'!B60)))</f>
        <v>victor.ibrahim@yahoo.com</v>
      </c>
      <c r="C58" s="1" t="str">
        <f>IF('Raw Data'!C60="","Missing",TRIM('Raw Data'!C60))</f>
        <v>05203409305</v>
      </c>
      <c r="D58" s="1" t="str">
        <f>IF('Raw Data'!D60="","Missing",PROPER(TRIM('Raw Data'!D60)))</f>
        <v>Port Harcourt</v>
      </c>
      <c r="E58" s="3">
        <f>IF(ISNUMBER(SEARCH("/",'Raw Data'!E58)),DATE(VALUE(RIGHT('Raw Data'!E58,4)),VALUE(MID('Raw Data'!E58,4,2)),VALUE(LEFT('Raw Data'!E58,2))),DATE(VALUE(LEFT('Raw Data'!E58,4)),VALUE(MID('Raw Data'!E58,6,2)),VALUE(RIGHT('Raw Data'!E58,2))))</f>
        <v>45425</v>
      </c>
      <c r="F58" s="1" t="str">
        <f>PROPER('Raw Data'!F60)</f>
        <v>Smartphone</v>
      </c>
      <c r="G58" s="1">
        <v>3</v>
      </c>
      <c r="H58" s="1">
        <v>250000</v>
      </c>
      <c r="I58" s="1">
        <f t="shared" si="1"/>
        <v>750000</v>
      </c>
    </row>
    <row r="59" spans="1:9" x14ac:dyDescent="0.35">
      <c r="A59" s="1" t="str">
        <f>PROPER(TRIM('Raw Data'!A61))</f>
        <v>Precious Ibrahim</v>
      </c>
      <c r="B59" s="1" t="str">
        <f>IF('Raw Data'!B61="","Missing",LOWER(TRIM('Raw Data'!B61)))</f>
        <v>precious.ibrahim@yahoo.com</v>
      </c>
      <c r="C59" s="1" t="str">
        <f>IF('Raw Data'!C61="","Missing",TRIM('Raw Data'!C61))</f>
        <v>0341-213-6224</v>
      </c>
      <c r="D59" s="1" t="str">
        <f>IF('Raw Data'!D61="","Missing",PROPER(TRIM('Raw Data'!D61)))</f>
        <v>Ibadan</v>
      </c>
      <c r="E59" s="3">
        <f>IF(ISNUMBER(SEARCH("/",'Raw Data'!E59)),DATE(VALUE(RIGHT('Raw Data'!E59,4)),VALUE(MID('Raw Data'!E59,4,2)),VALUE(LEFT('Raw Data'!E59,2))),DATE(VALUE(LEFT('Raw Data'!E59,4)),VALUE(MID('Raw Data'!E59,6,2)),VALUE(RIGHT('Raw Data'!E59,2))))</f>
        <v>45293</v>
      </c>
      <c r="F59" s="1" t="str">
        <f>PROPER('Raw Data'!F61)</f>
        <v>Smartphone</v>
      </c>
      <c r="G59" s="1">
        <v>1</v>
      </c>
      <c r="H59" s="1">
        <v>250000</v>
      </c>
      <c r="I59" s="1">
        <f t="shared" si="1"/>
        <v>250000</v>
      </c>
    </row>
    <row r="60" spans="1:9" x14ac:dyDescent="0.35">
      <c r="A60" s="1" t="str">
        <f>PROPER(TRIM('Raw Data'!A62))</f>
        <v>Funke Abubakar</v>
      </c>
      <c r="B60" s="1" t="str">
        <f>IF('Raw Data'!B62="","Missing",LOWER(TRIM('Raw Data'!B62)))</f>
        <v>funke.abubakar@outlook.com</v>
      </c>
      <c r="C60" s="1" t="str">
        <f>IF('Raw Data'!C62="","Missing",TRIM('Raw Data'!C62))</f>
        <v>04259472487</v>
      </c>
      <c r="D60" s="1" t="str">
        <f>IF('Raw Data'!D62="","Missing",PROPER(TRIM('Raw Data'!D62)))</f>
        <v>Port Harcourt</v>
      </c>
      <c r="E60" s="3">
        <f>IF(ISNUMBER(SEARCH("/",'Raw Data'!E60)),DATE(VALUE(RIGHT('Raw Data'!E60,4)),VALUE(MID('Raw Data'!E60,4,2)),VALUE(LEFT('Raw Data'!E60,2))),DATE(VALUE(LEFT('Raw Data'!E60,4)),VALUE(MID('Raw Data'!E60,6,2)),VALUE(RIGHT('Raw Data'!E60,2))))</f>
        <v>45348</v>
      </c>
      <c r="F60" s="1" t="str">
        <f>PROPER('Raw Data'!F62)</f>
        <v>Laptop</v>
      </c>
      <c r="G60" s="1">
        <v>2</v>
      </c>
      <c r="H60" s="1">
        <v>350000</v>
      </c>
      <c r="I60" s="1">
        <f t="shared" si="1"/>
        <v>700000</v>
      </c>
    </row>
    <row r="61" spans="1:9" x14ac:dyDescent="0.35">
      <c r="A61" s="1" t="str">
        <f>PROPER(TRIM('Raw Data'!A63))</f>
        <v>Chinedu Balogun</v>
      </c>
      <c r="B61" s="1" t="str">
        <f>IF('Raw Data'!B63="","Missing",LOWER(TRIM('Raw Data'!B63)))</f>
        <v>chinedu.balogun@yahoo.com</v>
      </c>
      <c r="C61" s="1" t="str">
        <f>IF('Raw Data'!C63="","Missing",TRIM('Raw Data'!C63))</f>
        <v>0966-850-2739</v>
      </c>
      <c r="D61" s="1" t="str">
        <f>IF('Raw Data'!D63="","Missing",PROPER(TRIM('Raw Data'!D63)))</f>
        <v>Lagos</v>
      </c>
      <c r="E61" s="3">
        <f>IF(ISNUMBER(SEARCH("/",'Raw Data'!E61)),DATE(VALUE(RIGHT('Raw Data'!E61,4)),VALUE(MID('Raw Data'!E61,4,2)),VALUE(LEFT('Raw Data'!E61,2))),DATE(VALUE(LEFT('Raw Data'!E61,4)),VALUE(MID('Raw Data'!E61,6,2)),VALUE(RIGHT('Raw Data'!E61,2))))</f>
        <v>45384</v>
      </c>
      <c r="F61" s="1" t="str">
        <f>PROPER('Raw Data'!F63)</f>
        <v>Laptop</v>
      </c>
      <c r="G61" s="1">
        <v>1</v>
      </c>
      <c r="H61" s="1">
        <v>350000</v>
      </c>
      <c r="I61" s="1">
        <f t="shared" si="1"/>
        <v>350000</v>
      </c>
    </row>
    <row r="62" spans="1:9" x14ac:dyDescent="0.35">
      <c r="A62" s="1" t="str">
        <f>PROPER(TRIM('Raw Data'!A64))</f>
        <v>Chiamaka Nwosu</v>
      </c>
      <c r="B62" s="1" t="str">
        <f>IF('Raw Data'!B64="","Missing",LOWER(TRIM('Raw Data'!B64)))</f>
        <v>chiamaka.nwosu@gmail.com</v>
      </c>
      <c r="C62" s="1" t="str">
        <f>IF('Raw Data'!C64="","Missing",TRIM('Raw Data'!C64))</f>
        <v>05404868443</v>
      </c>
      <c r="D62" s="1" t="str">
        <f>IF('Raw Data'!D64="","Missing",PROPER(TRIM('Raw Data'!D64)))</f>
        <v>Kano</v>
      </c>
      <c r="E62" s="3">
        <f>IF(ISNUMBER(SEARCH("/",'Raw Data'!E62)),DATE(VALUE(RIGHT('Raw Data'!E62,4)),VALUE(MID('Raw Data'!E62,4,2)),VALUE(LEFT('Raw Data'!E62,2))),DATE(VALUE(LEFT('Raw Data'!E62,4)),VALUE(MID('Raw Data'!E62,6,2)),VALUE(RIGHT('Raw Data'!E62,2))))</f>
        <v>45417</v>
      </c>
      <c r="F62" s="1" t="str">
        <f>PROPER('Raw Data'!F64)</f>
        <v>Headphones</v>
      </c>
      <c r="G62" s="1">
        <v>4</v>
      </c>
      <c r="H62" s="1">
        <v>70000</v>
      </c>
      <c r="I62" s="1">
        <f t="shared" si="1"/>
        <v>280000</v>
      </c>
    </row>
    <row r="63" spans="1:9" x14ac:dyDescent="0.35">
      <c r="A63" s="1" t="str">
        <f>PROPER(TRIM('Raw Data'!A65))</f>
        <v>Yusuf Yusuf</v>
      </c>
      <c r="B63" s="1" t="str">
        <f>IF('Raw Data'!B65="","Missing",LOWER(TRIM('Raw Data'!B65)))</f>
        <v>yusuf.yusuf@yahoo.com</v>
      </c>
      <c r="C63" s="1" t="str">
        <f>IF('Raw Data'!C65="","Missing",TRIM('Raw Data'!C65))</f>
        <v>0640-544-0559</v>
      </c>
      <c r="D63" s="1" t="str">
        <f>IF('Raw Data'!D65="","Missing",PROPER(TRIM('Raw Data'!D65)))</f>
        <v>Port Harcourt</v>
      </c>
      <c r="E63" s="3">
        <f>IF(ISNUMBER(SEARCH("/",'Raw Data'!E63)),DATE(VALUE(RIGHT('Raw Data'!E63,4)),VALUE(MID('Raw Data'!E63,4,2)),VALUE(LEFT('Raw Data'!E63,2))),DATE(VALUE(LEFT('Raw Data'!E63,4)),VALUE(MID('Raw Data'!E63,6,2)),VALUE(RIGHT('Raw Data'!E63,2))))</f>
        <v>45435</v>
      </c>
      <c r="F63" s="1" t="str">
        <f>PROPER('Raw Data'!F65)</f>
        <v>Laptop</v>
      </c>
      <c r="G63" s="1">
        <v>2</v>
      </c>
      <c r="H63" s="1">
        <v>350000</v>
      </c>
      <c r="I63" s="1">
        <f t="shared" si="1"/>
        <v>700000</v>
      </c>
    </row>
    <row r="64" spans="1:9" x14ac:dyDescent="0.35">
      <c r="A64" s="1" t="str">
        <f>PROPER(TRIM('Raw Data'!A66))</f>
        <v>Adaeze Umeh</v>
      </c>
      <c r="B64" s="1" t="str">
        <f>IF('Raw Data'!B66="","Missing",LOWER(TRIM('Raw Data'!B66)))</f>
        <v>adaeze.umeh@outlook.com</v>
      </c>
      <c r="C64" s="1" t="str">
        <f>IF('Raw Data'!C66="","Missing",TRIM('Raw Data'!C66))</f>
        <v>01067924708</v>
      </c>
      <c r="D64" s="1" t="str">
        <f>IF('Raw Data'!D66="","Missing",PROPER(TRIM('Raw Data'!D66)))</f>
        <v>Ibadan</v>
      </c>
      <c r="E64" s="3">
        <f>IF(ISNUMBER(SEARCH("/",'Raw Data'!E64)),DATE(VALUE(RIGHT('Raw Data'!E64,4)),VALUE(MID('Raw Data'!E64,4,2)),VALUE(LEFT('Raw Data'!E64,2))),DATE(VALUE(LEFT('Raw Data'!E64,4)),VALUE(MID('Raw Data'!E64,6,2)),VALUE(RIGHT('Raw Data'!E64,2))))</f>
        <v>45399</v>
      </c>
      <c r="F64" s="1" t="str">
        <f>PROPER('Raw Data'!F66)</f>
        <v>Headphones</v>
      </c>
      <c r="G64" s="1">
        <v>3</v>
      </c>
      <c r="H64" s="1">
        <v>70000</v>
      </c>
      <c r="I64" s="1">
        <f t="shared" si="1"/>
        <v>210000</v>
      </c>
    </row>
    <row r="65" spans="1:9" x14ac:dyDescent="0.35">
      <c r="A65" s="1" t="str">
        <f>PROPER(TRIM('Raw Data'!A67))</f>
        <v>Abdullahi Adekunle</v>
      </c>
      <c r="B65" s="1" t="str">
        <f>IF('Raw Data'!B67="","Missing",LOWER(TRIM('Raw Data'!B67)))</f>
        <v>abdullahi.adekunle@yahoo.com</v>
      </c>
      <c r="C65" s="1" t="str">
        <f>IF('Raw Data'!C67="","Missing",TRIM('Raw Data'!C67))</f>
        <v>01760313721</v>
      </c>
      <c r="D65" s="1" t="str">
        <f>IF('Raw Data'!D67="","Missing",PROPER(TRIM('Raw Data'!D67)))</f>
        <v>Lagos</v>
      </c>
      <c r="E65" s="3">
        <f>IF(ISNUMBER(SEARCH("/",'Raw Data'!E65)),DATE(VALUE(RIGHT('Raw Data'!E65,4)),VALUE(MID('Raw Data'!E65,4,2)),VALUE(LEFT('Raw Data'!E65,2))),DATE(VALUE(LEFT('Raw Data'!E65,4)),VALUE(MID('Raw Data'!E65,6,2)),VALUE(RIGHT('Raw Data'!E65,2))))</f>
        <v>45439</v>
      </c>
      <c r="F65" s="1" t="str">
        <f>PROPER('Raw Data'!F67)</f>
        <v>Laptop</v>
      </c>
      <c r="G65" s="1">
        <v>5</v>
      </c>
      <c r="H65" s="1">
        <v>350000</v>
      </c>
      <c r="I65" s="1">
        <f t="shared" si="1"/>
        <v>1750000</v>
      </c>
    </row>
    <row r="66" spans="1:9" x14ac:dyDescent="0.35">
      <c r="A66" s="1" t="str">
        <f>PROPER(TRIM('Raw Data'!A68))</f>
        <v>Sani Sanni</v>
      </c>
      <c r="B66" s="1" t="str">
        <f>IF('Raw Data'!B68="","Missing",LOWER(TRIM('Raw Data'!B68)))</f>
        <v>sani.sanni@yahoo.com</v>
      </c>
      <c r="C66" s="1" t="str">
        <f>IF('Raw Data'!C68="","Missing",TRIM('Raw Data'!C68))</f>
        <v>01402614014</v>
      </c>
      <c r="D66" s="1" t="str">
        <f>IF('Raw Data'!D68="","Missing",PROPER(TRIM('Raw Data'!D68)))</f>
        <v>Abuja</v>
      </c>
      <c r="E66" s="3">
        <f>IF(ISNUMBER(SEARCH("/",'Raw Data'!E66)),DATE(VALUE(RIGHT('Raw Data'!E66,4)),VALUE(MID('Raw Data'!E66,4,2)),VALUE(LEFT('Raw Data'!E66,2))),DATE(VALUE(LEFT('Raw Data'!E66,4)),VALUE(MID('Raw Data'!E66,6,2)),VALUE(RIGHT('Raw Data'!E66,2))))</f>
        <v>45390</v>
      </c>
      <c r="F66" s="1" t="str">
        <f>PROPER('Raw Data'!F68)</f>
        <v>Sneakers</v>
      </c>
      <c r="G66" s="1">
        <v>5</v>
      </c>
      <c r="H66" s="1">
        <v>40000</v>
      </c>
      <c r="I66" s="1">
        <f t="shared" ref="I66:I97" si="2">G66*H66</f>
        <v>200000</v>
      </c>
    </row>
    <row r="67" spans="1:9" x14ac:dyDescent="0.35">
      <c r="A67" s="1" t="str">
        <f>PROPER(TRIM('Raw Data'!A69))</f>
        <v>Adaeze Okafor</v>
      </c>
      <c r="B67" s="1" t="str">
        <f>IF('Raw Data'!B69="","Missing",LOWER(TRIM('Raw Data'!B69)))</f>
        <v>adaeze.okafor@yahoo.com</v>
      </c>
      <c r="C67" s="1" t="str">
        <f>IF('Raw Data'!C69="","Missing",TRIM('Raw Data'!C69))</f>
        <v>07642656515</v>
      </c>
      <c r="D67" s="1" t="str">
        <f>IF('Raw Data'!D69="","Missing",PROPER(TRIM('Raw Data'!D69)))</f>
        <v>Port Harcourt</v>
      </c>
      <c r="E67" s="3">
        <f>IF(ISNUMBER(SEARCH("/",'Raw Data'!E67)),DATE(VALUE(RIGHT('Raw Data'!E67,4)),VALUE(MID('Raw Data'!E67,4,2)),VALUE(LEFT('Raw Data'!E67,2))),DATE(VALUE(LEFT('Raw Data'!E67,4)),VALUE(MID('Raw Data'!E67,6,2)),VALUE(RIGHT('Raw Data'!E67,2))))</f>
        <v>45342</v>
      </c>
      <c r="F67" s="1" t="str">
        <f>PROPER('Raw Data'!F69)</f>
        <v>Headphones</v>
      </c>
      <c r="G67" s="1">
        <v>9</v>
      </c>
      <c r="H67" s="1">
        <v>70000</v>
      </c>
      <c r="I67" s="1">
        <f t="shared" si="2"/>
        <v>630000</v>
      </c>
    </row>
    <row r="68" spans="1:9" x14ac:dyDescent="0.35">
      <c r="A68" s="1" t="str">
        <f>PROPER(TRIM('Raw Data'!A70))</f>
        <v>Kelechi Adeyemi</v>
      </c>
      <c r="B68" s="1" t="str">
        <f>IF('Raw Data'!B70="","Missing",LOWER(TRIM('Raw Data'!B70)))</f>
        <v>kelechi.adeyemi@gmail.com</v>
      </c>
      <c r="C68" s="1" t="str">
        <f>IF('Raw Data'!C70="","Missing",TRIM('Raw Data'!C70))</f>
        <v>00018263304</v>
      </c>
      <c r="D68" s="1" t="str">
        <f>IF('Raw Data'!D70="","Missing",PROPER(TRIM('Raw Data'!D70)))</f>
        <v>Kano</v>
      </c>
      <c r="E68" s="3">
        <f>IF(ISNUMBER(SEARCH("/",'Raw Data'!E68)),DATE(VALUE(RIGHT('Raw Data'!E68,4)),VALUE(MID('Raw Data'!E68,4,2)),VALUE(LEFT('Raw Data'!E68,2))),DATE(VALUE(LEFT('Raw Data'!E68,4)),VALUE(MID('Raw Data'!E68,6,2)),VALUE(RIGHT('Raw Data'!E68,2))))</f>
        <v>45324</v>
      </c>
      <c r="F68" s="1" t="str">
        <f>PROPER('Raw Data'!F70)</f>
        <v>Blender</v>
      </c>
      <c r="G68" s="1">
        <v>4</v>
      </c>
      <c r="H68" s="1">
        <v>10000</v>
      </c>
      <c r="I68" s="1">
        <f t="shared" si="2"/>
        <v>40000</v>
      </c>
    </row>
    <row r="69" spans="1:9" x14ac:dyDescent="0.35">
      <c r="A69" s="1" t="str">
        <f>PROPER(TRIM('Raw Data'!A71))</f>
        <v>Obinna Nwosu</v>
      </c>
      <c r="B69" s="1" t="str">
        <f>IF('Raw Data'!B71="","Missing",LOWER(TRIM('Raw Data'!B71)))</f>
        <v>obinna.nwosu@yahoo.com</v>
      </c>
      <c r="C69" s="1" t="str">
        <f>IF('Raw Data'!C71="","Missing",TRIM('Raw Data'!C71))</f>
        <v>07617409319</v>
      </c>
      <c r="D69" s="1" t="str">
        <f>IF('Raw Data'!D71="","Missing",PROPER(TRIM('Raw Data'!D71)))</f>
        <v>Port Harcourt</v>
      </c>
      <c r="E69" s="3">
        <f>IF(ISNUMBER(SEARCH("/",'Raw Data'!E69)),DATE(VALUE(RIGHT('Raw Data'!E69,4)),VALUE(MID('Raw Data'!E69,4,2)),VALUE(LEFT('Raw Data'!E69,2))),DATE(VALUE(LEFT('Raw Data'!E69,4)),VALUE(MID('Raw Data'!E69,6,2)),VALUE(RIGHT('Raw Data'!E69,2))))</f>
        <v>45317</v>
      </c>
      <c r="F69" s="1" t="str">
        <f>PROPER('Raw Data'!F71)</f>
        <v>Laptop</v>
      </c>
      <c r="G69" s="1">
        <v>8</v>
      </c>
      <c r="H69" s="1">
        <v>350000</v>
      </c>
      <c r="I69" s="1">
        <f t="shared" si="2"/>
        <v>2800000</v>
      </c>
    </row>
    <row r="70" spans="1:9" x14ac:dyDescent="0.35">
      <c r="A70" s="1" t="str">
        <f>PROPER(TRIM('Raw Data'!A72))</f>
        <v>Adaeze Eze</v>
      </c>
      <c r="B70" s="1" t="str">
        <f>IF('Raw Data'!B72="","Missing",LOWER(TRIM('Raw Data'!B72)))</f>
        <v>adaeze.eze77@yahoo.com</v>
      </c>
      <c r="C70" s="1" t="str">
        <f>IF('Raw Data'!C72="","Missing",TRIM('Raw Data'!C72))</f>
        <v>0651-788-0021</v>
      </c>
      <c r="D70" s="1" t="str">
        <f>IF('Raw Data'!D72="","Missing",PROPER(TRIM('Raw Data'!D72)))</f>
        <v>Port Harcourt</v>
      </c>
      <c r="E70" s="3">
        <f>IF(ISNUMBER(SEARCH("/",'Raw Data'!E70)),DATE(VALUE(RIGHT('Raw Data'!E70,4)),VALUE(MID('Raw Data'!E70,4,2)),VALUE(LEFT('Raw Data'!E70,2))),DATE(VALUE(LEFT('Raw Data'!E70,4)),VALUE(MID('Raw Data'!E70,6,2)),VALUE(RIGHT('Raw Data'!E70,2))))</f>
        <v>45299</v>
      </c>
      <c r="F70" s="1" t="str">
        <f>PROPER('Raw Data'!F72)</f>
        <v>Television</v>
      </c>
      <c r="G70" s="1">
        <v>2</v>
      </c>
      <c r="H70" s="1">
        <v>300000</v>
      </c>
      <c r="I70" s="1">
        <f t="shared" si="2"/>
        <v>600000</v>
      </c>
    </row>
    <row r="71" spans="1:9" x14ac:dyDescent="0.35">
      <c r="A71" s="1" t="str">
        <f>PROPER(TRIM('Raw Data'!A73))</f>
        <v>Yusuf Abubakar</v>
      </c>
      <c r="B71" s="1" t="str">
        <f>IF('Raw Data'!B73="","Missing",LOWER(TRIM('Raw Data'!B73)))</f>
        <v>yusuf.abubakar@outlook.com</v>
      </c>
      <c r="C71" s="1" t="str">
        <f>IF('Raw Data'!C73="","Missing",TRIM('Raw Data'!C73))</f>
        <v>03643900847</v>
      </c>
      <c r="D71" s="1" t="str">
        <f>IF('Raw Data'!D73="","Missing",PROPER(TRIM('Raw Data'!D73)))</f>
        <v>Port Harcourt</v>
      </c>
      <c r="E71" s="3">
        <f>IF(ISNUMBER(SEARCH("/",'Raw Data'!E71)),DATE(VALUE(RIGHT('Raw Data'!E71,4)),VALUE(MID('Raw Data'!E71,4,2)),VALUE(LEFT('Raw Data'!E71,2))),DATE(VALUE(LEFT('Raw Data'!E71,4)),VALUE(MID('Raw Data'!E71,6,2)),VALUE(RIGHT('Raw Data'!E71,2))))</f>
        <v>45421</v>
      </c>
      <c r="F71" s="1" t="str">
        <f>PROPER('Raw Data'!F73)</f>
        <v>Wrist Watch</v>
      </c>
      <c r="G71" s="1">
        <v>2</v>
      </c>
      <c r="H71" s="1">
        <v>35000</v>
      </c>
      <c r="I71" s="1">
        <f t="shared" si="2"/>
        <v>70000</v>
      </c>
    </row>
    <row r="72" spans="1:9" x14ac:dyDescent="0.35">
      <c r="A72" s="1" t="str">
        <f>PROPER(TRIM('Raw Data'!A74))</f>
        <v>Ibrahim Nwachukwu</v>
      </c>
      <c r="B72" s="1" t="str">
        <f>IF('Raw Data'!B74="","Missing",LOWER(TRIM('Raw Data'!B74)))</f>
        <v>ibrahim.nwachukwu@outlook.com</v>
      </c>
      <c r="C72" s="1" t="str">
        <f>IF('Raw Data'!C74="","Missing",TRIM('Raw Data'!C74))</f>
        <v>03064003761</v>
      </c>
      <c r="D72" s="1" t="str">
        <f>IF('Raw Data'!D74="","Missing",PROPER(TRIM('Raw Data'!D74)))</f>
        <v>Enugu</v>
      </c>
      <c r="E72" s="3">
        <f>IF(ISNUMBER(SEARCH("/",'Raw Data'!E72)),DATE(VALUE(RIGHT('Raw Data'!E72,4)),VALUE(MID('Raw Data'!E72,4,2)),VALUE(LEFT('Raw Data'!E72,2))),DATE(VALUE(LEFT('Raw Data'!E72,4)),VALUE(MID('Raw Data'!E72,6,2)),VALUE(RIGHT('Raw Data'!E72,2))))</f>
        <v>45334</v>
      </c>
      <c r="F72" s="1" t="str">
        <f>PROPER('Raw Data'!F74)</f>
        <v>Wrist Watch</v>
      </c>
      <c r="G72" s="1">
        <v>2</v>
      </c>
      <c r="H72" s="1">
        <v>35000</v>
      </c>
      <c r="I72" s="1">
        <f t="shared" si="2"/>
        <v>70000</v>
      </c>
    </row>
    <row r="73" spans="1:9" x14ac:dyDescent="0.35">
      <c r="A73" s="1" t="str">
        <f>PROPER(TRIM('Raw Data'!A75))</f>
        <v>Chiamaka Yusuf</v>
      </c>
      <c r="B73" s="1" t="str">
        <f>IF('Raw Data'!B75="","Missing",LOWER(TRIM('Raw Data'!B75)))</f>
        <v>chiamaka.yusuf@outlook.com</v>
      </c>
      <c r="C73" s="1" t="str">
        <f>IF('Raw Data'!C75="","Missing",TRIM('Raw Data'!C75))</f>
        <v>05545904544</v>
      </c>
      <c r="D73" s="1" t="str">
        <f>IF('Raw Data'!D75="","Missing",PROPER(TRIM('Raw Data'!D75)))</f>
        <v>Kano</v>
      </c>
      <c r="E73" s="3">
        <f>IF(ISNUMBER(SEARCH("/",'Raw Data'!E73)),DATE(VALUE(RIGHT('Raw Data'!E73,4)),VALUE(MID('Raw Data'!E73,4,2)),VALUE(LEFT('Raw Data'!E73,2))),DATE(VALUE(LEFT('Raw Data'!E73,4)),VALUE(MID('Raw Data'!E73,6,2)),VALUE(RIGHT('Raw Data'!E73,2))))</f>
        <v>45468</v>
      </c>
      <c r="F73" s="1" t="str">
        <f>PROPER('Raw Data'!F75)</f>
        <v>Blender</v>
      </c>
      <c r="G73" s="1">
        <v>5</v>
      </c>
      <c r="H73" s="1">
        <v>10000</v>
      </c>
      <c r="I73" s="1">
        <f t="shared" si="2"/>
        <v>50000</v>
      </c>
    </row>
    <row r="74" spans="1:9" x14ac:dyDescent="0.35">
      <c r="A74" s="1" t="str">
        <f>PROPER(TRIM('Raw Data'!A77))</f>
        <v>Uche Okonkwo</v>
      </c>
      <c r="B74" s="1" t="str">
        <f>IF('Raw Data'!B77="","Missing",LOWER(TRIM('Raw Data'!B77)))</f>
        <v>uche.okonkwo@gmail.com</v>
      </c>
      <c r="C74" s="1" t="str">
        <f>IF('Raw Data'!C77="","Missing",TRIM('Raw Data'!C77))</f>
        <v>0948-219-9351</v>
      </c>
      <c r="D74" s="1" t="str">
        <f>IF('Raw Data'!D77="","Missing",PROPER(TRIM('Raw Data'!D77)))</f>
        <v>Lagos</v>
      </c>
      <c r="E74" s="3">
        <f>IF(ISNUMBER(SEARCH("/",'Raw Data'!E74)),DATE(VALUE(RIGHT('Raw Data'!E74,4)),VALUE(MID('Raw Data'!E74,4,2)),VALUE(LEFT('Raw Data'!E74,2))),DATE(VALUE(LEFT('Raw Data'!E74,4)),VALUE(MID('Raw Data'!E74,6,2)),VALUE(RIGHT('Raw Data'!E74,2))))</f>
        <v>45431</v>
      </c>
      <c r="F74" s="1" t="str">
        <f>PROPER('Raw Data'!F77)</f>
        <v>Handbag</v>
      </c>
      <c r="G74" s="1">
        <v>4</v>
      </c>
      <c r="H74" s="1">
        <v>5000</v>
      </c>
      <c r="I74" s="1">
        <f t="shared" si="2"/>
        <v>20000</v>
      </c>
    </row>
    <row r="75" spans="1:9" x14ac:dyDescent="0.35">
      <c r="A75" s="1" t="str">
        <f>PROPER(TRIM('Raw Data'!A78))</f>
        <v>Zainab Adeyemi</v>
      </c>
      <c r="B75" s="1" t="str">
        <f>IF('Raw Data'!B78="","Missing",LOWER(TRIM('Raw Data'!B78)))</f>
        <v>zainab.adeyemi@yahoo.com</v>
      </c>
      <c r="C75" s="1" t="str">
        <f>IF('Raw Data'!C78="","Missing",TRIM('Raw Data'!C78))</f>
        <v>05759183623</v>
      </c>
      <c r="D75" s="1" t="str">
        <f>IF('Raw Data'!D78="","Missing",PROPER(TRIM('Raw Data'!D78)))</f>
        <v>Enugu</v>
      </c>
      <c r="E75" s="3">
        <f>IF(ISNUMBER(SEARCH("/",'Raw Data'!E75)),DATE(VALUE(RIGHT('Raw Data'!E75,4)),VALUE(MID('Raw Data'!E75,4,2)),VALUE(LEFT('Raw Data'!E75,2))),DATE(VALUE(LEFT('Raw Data'!E75,4)),VALUE(MID('Raw Data'!E75,6,2)),VALUE(RIGHT('Raw Data'!E75,2))))</f>
        <v>45350</v>
      </c>
      <c r="F75" s="1" t="str">
        <f>PROPER('Raw Data'!F78)</f>
        <v>Smartphone</v>
      </c>
      <c r="G75" s="1">
        <v>5</v>
      </c>
      <c r="H75" s="1">
        <v>250000</v>
      </c>
      <c r="I75" s="1">
        <f t="shared" si="2"/>
        <v>1250000</v>
      </c>
    </row>
    <row r="76" spans="1:9" x14ac:dyDescent="0.35">
      <c r="A76" s="1" t="str">
        <f>PROPER(TRIM('Raw Data'!A80))</f>
        <v>Femi Adeyemi</v>
      </c>
      <c r="B76" s="1" t="str">
        <f>IF('Raw Data'!B80="","Missing",LOWER(TRIM('Raw Data'!B80)))</f>
        <v>femi.adeyemi@gmail.com</v>
      </c>
      <c r="C76" s="1" t="str">
        <f>IF('Raw Data'!C80="","Missing",TRIM('Raw Data'!C80))</f>
        <v>01815908301</v>
      </c>
      <c r="D76" s="1" t="str">
        <f>IF('Raw Data'!D80="","Missing",PROPER(TRIM('Raw Data'!D80)))</f>
        <v>Lagos</v>
      </c>
      <c r="E76" s="3">
        <f>IF(ISNUMBER(SEARCH("/",'Raw Data'!E76)),DATE(VALUE(RIGHT('Raw Data'!E76,4)),VALUE(MID('Raw Data'!E76,4,2)),VALUE(LEFT('Raw Data'!E76,2))),DATE(VALUE(LEFT('Raw Data'!E76,4)),VALUE(MID('Raw Data'!E76,6,2)),VALUE(RIGHT('Raw Data'!E76,2))))</f>
        <v>45348</v>
      </c>
      <c r="F76" s="1" t="str">
        <f>PROPER('Raw Data'!F80)</f>
        <v>Sneakers</v>
      </c>
      <c r="G76" s="1">
        <v>3</v>
      </c>
      <c r="H76" s="1">
        <v>40000</v>
      </c>
      <c r="I76" s="1">
        <f t="shared" si="2"/>
        <v>120000</v>
      </c>
    </row>
    <row r="77" spans="1:9" x14ac:dyDescent="0.35">
      <c r="A77" s="1" t="str">
        <f>PROPER(TRIM('Raw Data'!A81))</f>
        <v>Zainab Obi</v>
      </c>
      <c r="B77" s="1" t="str">
        <f>IF('Raw Data'!B81="","Missing",LOWER(TRIM('Raw Data'!B81)))</f>
        <v>zainab.obi@gmail.com</v>
      </c>
      <c r="C77" s="1" t="str">
        <f>IF('Raw Data'!C81="","Missing",TRIM('Raw Data'!C81))</f>
        <v>07074137484</v>
      </c>
      <c r="D77" s="1" t="str">
        <f>IF('Raw Data'!D81="","Missing",PROPER(TRIM('Raw Data'!D81)))</f>
        <v>Ibadan</v>
      </c>
      <c r="E77" s="3">
        <f>IF(ISNUMBER(SEARCH("/",'Raw Data'!E77)),DATE(VALUE(RIGHT('Raw Data'!E77,4)),VALUE(MID('Raw Data'!E77,4,2)),VALUE(LEFT('Raw Data'!E77,2))),DATE(VALUE(LEFT('Raw Data'!E77,4)),VALUE(MID('Raw Data'!E77,6,2)),VALUE(RIGHT('Raw Data'!E77,2))))</f>
        <v>45329</v>
      </c>
      <c r="F77" s="1" t="str">
        <f>PROPER('Raw Data'!F81)</f>
        <v>Television</v>
      </c>
      <c r="G77" s="1">
        <v>3</v>
      </c>
      <c r="H77" s="1">
        <v>300000</v>
      </c>
      <c r="I77" s="1">
        <f t="shared" si="2"/>
        <v>900000</v>
      </c>
    </row>
    <row r="78" spans="1:9" x14ac:dyDescent="0.35">
      <c r="A78" s="1" t="str">
        <f>PROPER(TRIM('Raw Data'!A82))</f>
        <v>Nkechi Ibrahim</v>
      </c>
      <c r="B78" s="1" t="str">
        <f>IF('Raw Data'!B82="","Missing",LOWER(TRIM('Raw Data'!B82)))</f>
        <v>nkechi.ibrahim@gmail.com</v>
      </c>
      <c r="C78" s="1" t="str">
        <f>IF('Raw Data'!C82="","Missing",TRIM('Raw Data'!C82))</f>
        <v>05656304813</v>
      </c>
      <c r="D78" s="1" t="str">
        <f>IF('Raw Data'!D82="","Missing",PROPER(TRIM('Raw Data'!D82)))</f>
        <v>Abuja</v>
      </c>
      <c r="E78" s="3">
        <f>IF(ISNUMBER(SEARCH("/",'Raw Data'!E78)),DATE(VALUE(RIGHT('Raw Data'!E78,4)),VALUE(MID('Raw Data'!E78,4,2)),VALUE(LEFT('Raw Data'!E78,2))),DATE(VALUE(LEFT('Raw Data'!E78,4)),VALUE(MID('Raw Data'!E78,6,2)),VALUE(RIGHT('Raw Data'!E78,2))))</f>
        <v>45458</v>
      </c>
      <c r="F78" s="1" t="str">
        <f>PROPER('Raw Data'!F82)</f>
        <v>Wrist Watch</v>
      </c>
      <c r="G78" s="1">
        <v>2</v>
      </c>
      <c r="H78" s="1">
        <v>35000</v>
      </c>
      <c r="I78" s="1">
        <f t="shared" si="2"/>
        <v>70000</v>
      </c>
    </row>
    <row r="79" spans="1:9" x14ac:dyDescent="0.35">
      <c r="A79" s="1" t="str">
        <f>PROPER(TRIM('Raw Data'!A83))</f>
        <v>Tobi Ibrahim</v>
      </c>
      <c r="B79" s="1" t="str">
        <f>IF('Raw Data'!B83="","Missing",LOWER(TRIM('Raw Data'!B83)))</f>
        <v>tobi.ibrahim@yahoo.com</v>
      </c>
      <c r="C79" s="1" t="str">
        <f>IF('Raw Data'!C83="","Missing",TRIM('Raw Data'!C83))</f>
        <v>0200-977-3797</v>
      </c>
      <c r="D79" s="1" t="str">
        <f>IF('Raw Data'!D83="","Missing",PROPER(TRIM('Raw Data'!D83)))</f>
        <v>Ibadan</v>
      </c>
      <c r="E79" s="3">
        <f>IF(ISNUMBER(SEARCH("/",'Raw Data'!E79)),DATE(VALUE(RIGHT('Raw Data'!E79,4)),VALUE(MID('Raw Data'!E79,4,2)),VALUE(LEFT('Raw Data'!E79,2))),DATE(VALUE(LEFT('Raw Data'!E79,4)),VALUE(MID('Raw Data'!E79,6,2)),VALUE(RIGHT('Raw Data'!E79,2))))</f>
        <v>45421</v>
      </c>
      <c r="F79" s="1" t="str">
        <f>PROPER('Raw Data'!F83)</f>
        <v>Blender</v>
      </c>
      <c r="G79" s="1">
        <v>4</v>
      </c>
      <c r="H79" s="1">
        <v>10000</v>
      </c>
      <c r="I79" s="1">
        <f t="shared" si="2"/>
        <v>40000</v>
      </c>
    </row>
    <row r="80" spans="1:9" x14ac:dyDescent="0.35">
      <c r="A80" s="1" t="str">
        <f>PROPER(TRIM('Raw Data'!A84))</f>
        <v>Victor Okoro</v>
      </c>
      <c r="B80" s="1" t="str">
        <f>IF('Raw Data'!B84="","Missing",LOWER(TRIM('Raw Data'!B84)))</f>
        <v>victor.okoro@gmail.com</v>
      </c>
      <c r="C80" s="1" t="str">
        <f>IF('Raw Data'!C84="","Missing",TRIM('Raw Data'!C84))</f>
        <v>04078066717</v>
      </c>
      <c r="D80" s="1" t="str">
        <f>IF('Raw Data'!D84="","Missing",PROPER(TRIM('Raw Data'!D84)))</f>
        <v>Lagos</v>
      </c>
      <c r="E80" s="3">
        <f>IF(ISNUMBER(SEARCH("/",'Raw Data'!E80)),DATE(VALUE(RIGHT('Raw Data'!E80,4)),VALUE(MID('Raw Data'!E80,4,2)),VALUE(LEFT('Raw Data'!E80,2))),DATE(VALUE(LEFT('Raw Data'!E80,4)),VALUE(MID('Raw Data'!E80,6,2)),VALUE(RIGHT('Raw Data'!E80,2))))</f>
        <v>45395</v>
      </c>
      <c r="F80" s="1" t="str">
        <f>PROPER('Raw Data'!F84)</f>
        <v>Headphones</v>
      </c>
      <c r="G80" s="1">
        <v>4</v>
      </c>
      <c r="H80" s="1">
        <v>70000</v>
      </c>
      <c r="I80" s="1">
        <f t="shared" si="2"/>
        <v>280000</v>
      </c>
    </row>
    <row r="81" spans="1:9" x14ac:dyDescent="0.35">
      <c r="A81" s="1" t="str">
        <f>PROPER(TRIM('Raw Data'!A85))</f>
        <v>Fatima Suleiman</v>
      </c>
      <c r="B81" s="1" t="str">
        <f>IF('Raw Data'!B85="","Missing",LOWER(TRIM('Raw Data'!B85)))</f>
        <v>fatima.suleiman@yahoo.com</v>
      </c>
      <c r="C81" s="1" t="str">
        <f>IF('Raw Data'!C85="","Missing",TRIM('Raw Data'!C85))</f>
        <v>0163-624-6770</v>
      </c>
      <c r="D81" s="1" t="str">
        <f>IF('Raw Data'!D85="","Missing",PROPER(TRIM('Raw Data'!D85)))</f>
        <v>Ibadan</v>
      </c>
      <c r="E81" s="3">
        <f>IF(ISNUMBER(SEARCH("/",'Raw Data'!E81)),DATE(VALUE(RIGHT('Raw Data'!E81,4)),VALUE(MID('Raw Data'!E81,4,2)),VALUE(LEFT('Raw Data'!E81,2))),DATE(VALUE(LEFT('Raw Data'!E81,4)),VALUE(MID('Raw Data'!E81,6,2)),VALUE(RIGHT('Raw Data'!E81,2))))</f>
        <v>45433</v>
      </c>
      <c r="F81" s="1" t="str">
        <f>PROPER('Raw Data'!F85)</f>
        <v>Handbag</v>
      </c>
      <c r="G81" s="1">
        <v>1</v>
      </c>
      <c r="H81" s="1">
        <v>5000</v>
      </c>
      <c r="I81" s="1">
        <f t="shared" si="2"/>
        <v>5000</v>
      </c>
    </row>
    <row r="82" spans="1:9" x14ac:dyDescent="0.35">
      <c r="A82" s="1" t="str">
        <f>PROPER(TRIM('Raw Data'!A86))</f>
        <v>Yusuf Okafor</v>
      </c>
      <c r="B82" s="1" t="str">
        <f>IF('Raw Data'!B86="","Missing",LOWER(TRIM('Raw Data'!B86)))</f>
        <v>yusuf.okafor@outlook.com</v>
      </c>
      <c r="C82" s="1" t="str">
        <f>IF('Raw Data'!C86="","Missing",TRIM('Raw Data'!C86))</f>
        <v>0159-013-9624</v>
      </c>
      <c r="D82" s="1" t="str">
        <f>IF('Raw Data'!D86="","Missing",PROPER(TRIM('Raw Data'!D86)))</f>
        <v>Kano</v>
      </c>
      <c r="E82" s="3">
        <f>IF(ISNUMBER(SEARCH("/",'Raw Data'!E82)),DATE(VALUE(RIGHT('Raw Data'!E82,4)),VALUE(MID('Raw Data'!E82,4,2)),VALUE(LEFT('Raw Data'!E82,2))),DATE(VALUE(LEFT('Raw Data'!E82,4)),VALUE(MID('Raw Data'!E82,6,2)),VALUE(RIGHT('Raw Data'!E82,2))))</f>
        <v>45374</v>
      </c>
      <c r="F82" s="1" t="str">
        <f>PROPER('Raw Data'!F86)</f>
        <v>Wrist Watch</v>
      </c>
      <c r="G82" s="1">
        <v>5</v>
      </c>
      <c r="H82" s="1">
        <v>35000</v>
      </c>
      <c r="I82" s="1">
        <f t="shared" si="2"/>
        <v>175000</v>
      </c>
    </row>
    <row r="83" spans="1:9" x14ac:dyDescent="0.35">
      <c r="A83" s="1" t="str">
        <f>PROPER(TRIM('Raw Data'!A87))</f>
        <v>Amina Abubakar</v>
      </c>
      <c r="B83" s="1" t="str">
        <f>IF('Raw Data'!B87="","Missing",LOWER(TRIM('Raw Data'!B87)))</f>
        <v>amina.abubakar@gmail.com</v>
      </c>
      <c r="C83" s="1" t="str">
        <f>IF('Raw Data'!C87="","Missing",TRIM('Raw Data'!C87))</f>
        <v>0023-904-2486</v>
      </c>
      <c r="D83" s="1" t="str">
        <f>IF('Raw Data'!D87="","Missing",PROPER(TRIM('Raw Data'!D87)))</f>
        <v>Lagos</v>
      </c>
      <c r="E83" s="3">
        <f>IF(ISNUMBER(SEARCH("/",'Raw Data'!E83)),DATE(VALUE(RIGHT('Raw Data'!E83,4)),VALUE(MID('Raw Data'!E83,4,2)),VALUE(LEFT('Raw Data'!E83,2))),DATE(VALUE(LEFT('Raw Data'!E83,4)),VALUE(MID('Raw Data'!E83,6,2)),VALUE(RIGHT('Raw Data'!E83,2))))</f>
        <v>45358</v>
      </c>
      <c r="F83" s="1" t="str">
        <f>PROPER('Raw Data'!F87)</f>
        <v>Handbag</v>
      </c>
      <c r="G83" s="1">
        <v>3</v>
      </c>
      <c r="H83" s="1">
        <v>5000</v>
      </c>
      <c r="I83" s="1">
        <f t="shared" si="2"/>
        <v>15000</v>
      </c>
    </row>
    <row r="84" spans="1:9" x14ac:dyDescent="0.35">
      <c r="A84" s="1" t="str">
        <f>PROPER(TRIM('Raw Data'!A88))</f>
        <v>Halima Bello</v>
      </c>
      <c r="B84" s="1" t="str">
        <f>IF('Raw Data'!B88="","Missing",LOWER(TRIM('Raw Data'!B88)))</f>
        <v>halima.bello@gmail.com</v>
      </c>
      <c r="C84" s="1" t="str">
        <f>IF('Raw Data'!C88="","Missing",TRIM('Raw Data'!C88))</f>
        <v>00666836450</v>
      </c>
      <c r="D84" s="1" t="str">
        <f>IF('Raw Data'!D88="","Missing",PROPER(TRIM('Raw Data'!D88)))</f>
        <v>Kano</v>
      </c>
      <c r="E84" s="3">
        <f>IF(ISNUMBER(SEARCH("/",'Raw Data'!E84)),DATE(VALUE(RIGHT('Raw Data'!E84,4)),VALUE(MID('Raw Data'!E84,4,2)),VALUE(LEFT('Raw Data'!E84,2))),DATE(VALUE(LEFT('Raw Data'!E84,4)),VALUE(MID('Raw Data'!E84,6,2)),VALUE(RIGHT('Raw Data'!E84,2))))</f>
        <v>45445</v>
      </c>
      <c r="F84" s="1" t="str">
        <f>PROPER('Raw Data'!F88)</f>
        <v>Wrist Watch</v>
      </c>
      <c r="G84" s="1">
        <v>3</v>
      </c>
      <c r="H84" s="1">
        <v>35000</v>
      </c>
      <c r="I84" s="1">
        <f t="shared" si="2"/>
        <v>105000</v>
      </c>
    </row>
    <row r="85" spans="1:9" x14ac:dyDescent="0.35">
      <c r="A85" s="1" t="str">
        <f>PROPER(TRIM('Raw Data'!A89))</f>
        <v>Adaeze Eze</v>
      </c>
      <c r="B85" s="1" t="str">
        <f>IF('Raw Data'!B89="","Missing",LOWER(TRIM('Raw Data'!B89)))</f>
        <v>adaeze.eze@gmail.com</v>
      </c>
      <c r="C85" s="1" t="str">
        <f>IF('Raw Data'!C89="","Missing",TRIM('Raw Data'!C89))</f>
        <v>0044-516-6915</v>
      </c>
      <c r="D85" s="1" t="str">
        <f>IF('Raw Data'!D89="","Missing",PROPER(TRIM('Raw Data'!D89)))</f>
        <v>Port Harcourt</v>
      </c>
      <c r="E85" s="3">
        <f>IF(ISNUMBER(SEARCH("/",'Raw Data'!E85)),DATE(VALUE(RIGHT('Raw Data'!E85,4)),VALUE(MID('Raw Data'!E85,4,2)),VALUE(LEFT('Raw Data'!E85,2))),DATE(VALUE(LEFT('Raw Data'!E85,4)),VALUE(MID('Raw Data'!E85,6,2)),VALUE(RIGHT('Raw Data'!E85,2))))</f>
        <v>45408</v>
      </c>
      <c r="F85" s="1" t="str">
        <f>PROPER('Raw Data'!F89)</f>
        <v>Laptop</v>
      </c>
      <c r="G85" s="1">
        <v>4</v>
      </c>
      <c r="H85" s="1">
        <v>350000</v>
      </c>
      <c r="I85" s="1">
        <f t="shared" si="2"/>
        <v>1400000</v>
      </c>
    </row>
    <row r="86" spans="1:9" x14ac:dyDescent="0.35">
      <c r="A86" s="1" t="str">
        <f>PROPER(TRIM('Raw Data'!A90))</f>
        <v>Victor Okafor</v>
      </c>
      <c r="B86" s="1" t="str">
        <f>IF('Raw Data'!B90="","Missing",LOWER(TRIM('Raw Data'!B90)))</f>
        <v>victor.okafor@gmail.com</v>
      </c>
      <c r="C86" s="1" t="str">
        <f>IF('Raw Data'!C90="","Missing",TRIM('Raw Data'!C90))</f>
        <v>0681-570-8931</v>
      </c>
      <c r="D86" s="1" t="str">
        <f>IF('Raw Data'!D90="","Missing",PROPER(TRIM('Raw Data'!D90)))</f>
        <v>Port Harcourt</v>
      </c>
      <c r="E86" s="3">
        <f>IF(ISNUMBER(SEARCH("/",'Raw Data'!E86)),DATE(VALUE(RIGHT('Raw Data'!E86,4)),VALUE(MID('Raw Data'!E86,4,2)),VALUE(LEFT('Raw Data'!E86,2))),DATE(VALUE(LEFT('Raw Data'!E86,4)),VALUE(MID('Raw Data'!E86,6,2)),VALUE(RIGHT('Raw Data'!E86,2))))</f>
        <v>45379</v>
      </c>
      <c r="F86" s="1" t="str">
        <f>PROPER('Raw Data'!F90)</f>
        <v>Smartphone</v>
      </c>
      <c r="G86" s="1">
        <v>1</v>
      </c>
      <c r="H86" s="1">
        <v>250000</v>
      </c>
      <c r="I86" s="1">
        <f t="shared" si="2"/>
        <v>250000</v>
      </c>
    </row>
    <row r="87" spans="1:9" x14ac:dyDescent="0.35">
      <c r="A87" s="1" t="str">
        <f>PROPER(TRIM('Raw Data'!A92))</f>
        <v>Fatima Eze</v>
      </c>
      <c r="B87" s="1" t="str">
        <f>IF('Raw Data'!B92="","Missing",LOWER(TRIM('Raw Data'!B92)))</f>
        <v>fatima.eze@gmail.com</v>
      </c>
      <c r="C87" s="1" t="str">
        <f>IF('Raw Data'!C92="","Missing",TRIM('Raw Data'!C92))</f>
        <v>0520-002-0101</v>
      </c>
      <c r="D87" s="1" t="str">
        <f>IF('Raw Data'!D92="","Missing",PROPER(TRIM('Raw Data'!D92)))</f>
        <v>Port Harcourt</v>
      </c>
      <c r="E87" s="3">
        <f>IF(ISNUMBER(SEARCH("/",'Raw Data'!E87)),DATE(VALUE(RIGHT('Raw Data'!E87,4)),VALUE(MID('Raw Data'!E87,4,2)),VALUE(LEFT('Raw Data'!E87,2))),DATE(VALUE(LEFT('Raw Data'!E87,4)),VALUE(MID('Raw Data'!E87,6,2)),VALUE(RIGHT('Raw Data'!E87,2))))</f>
        <v>45394</v>
      </c>
      <c r="F87" s="1" t="str">
        <f>PROPER('Raw Data'!F92)</f>
        <v>Television</v>
      </c>
      <c r="G87" s="1">
        <v>1</v>
      </c>
      <c r="H87" s="1">
        <v>300000</v>
      </c>
      <c r="I87" s="1">
        <f t="shared" si="2"/>
        <v>300000</v>
      </c>
    </row>
    <row r="88" spans="1:9" x14ac:dyDescent="0.35">
      <c r="A88" s="1" t="str">
        <f>PROPER(TRIM('Raw Data'!A93))</f>
        <v>Ngozi Okafor</v>
      </c>
      <c r="B88" s="1" t="str">
        <f>IF('Raw Data'!B93="","Missing",LOWER(TRIM('Raw Data'!B93)))</f>
        <v>ngozi.okafor@yahoo.com</v>
      </c>
      <c r="C88" s="1" t="str">
        <f>IF('Raw Data'!C93="","Missing",TRIM('Raw Data'!C93))</f>
        <v>01858369492</v>
      </c>
      <c r="D88" s="1" t="str">
        <f>IF('Raw Data'!D93="","Missing",PROPER(TRIM('Raw Data'!D93)))</f>
        <v>Kano</v>
      </c>
      <c r="E88" s="3">
        <f>IF(ISNUMBER(SEARCH("/",'Raw Data'!E88)),DATE(VALUE(RIGHT('Raw Data'!E88,4)),VALUE(MID('Raw Data'!E88,4,2)),VALUE(LEFT('Raw Data'!E88,2))),DATE(VALUE(LEFT('Raw Data'!E88,4)),VALUE(MID('Raw Data'!E88,6,2)),VALUE(RIGHT('Raw Data'!E88,2))))</f>
        <v>45410</v>
      </c>
      <c r="F88" s="1" t="str">
        <f>PROPER('Raw Data'!F93)</f>
        <v>Television</v>
      </c>
      <c r="G88" s="1">
        <v>5</v>
      </c>
      <c r="H88" s="1">
        <v>300000</v>
      </c>
      <c r="I88" s="1">
        <f t="shared" si="2"/>
        <v>1500000</v>
      </c>
    </row>
    <row r="89" spans="1:9" x14ac:dyDescent="0.35">
      <c r="A89" s="1" t="str">
        <f>PROPER(TRIM('Raw Data'!A94))</f>
        <v>Chukwudi Sanni</v>
      </c>
      <c r="B89" s="1" t="str">
        <f>IF('Raw Data'!B94="","Missing",LOWER(TRIM('Raw Data'!B94)))</f>
        <v>chukwudi.sanni@gmail.com</v>
      </c>
      <c r="C89" s="1" t="str">
        <f>IF('Raw Data'!C94="","Missing",TRIM('Raw Data'!C94))</f>
        <v>0687-731-3228</v>
      </c>
      <c r="D89" s="1" t="str">
        <f>IF('Raw Data'!D94="","Missing",PROPER(TRIM('Raw Data'!D94)))</f>
        <v>Lagos</v>
      </c>
      <c r="E89" s="3">
        <f>IF(ISNUMBER(SEARCH("/",'Raw Data'!E89)),DATE(VALUE(RIGHT('Raw Data'!E89,4)),VALUE(MID('Raw Data'!E89,4,2)),VALUE(LEFT('Raw Data'!E89,2))),DATE(VALUE(LEFT('Raw Data'!E89,4)),VALUE(MID('Raw Data'!E89,6,2)),VALUE(RIGHT('Raw Data'!E89,2))))</f>
        <v>45342</v>
      </c>
      <c r="F89" s="1" t="str">
        <f>PROPER('Raw Data'!F94)</f>
        <v>Television</v>
      </c>
      <c r="G89" s="1">
        <v>5</v>
      </c>
      <c r="H89" s="1">
        <v>300000</v>
      </c>
      <c r="I89" s="1">
        <f t="shared" si="2"/>
        <v>1500000</v>
      </c>
    </row>
    <row r="90" spans="1:9" x14ac:dyDescent="0.35">
      <c r="A90" s="1" t="str">
        <f>PROPER(TRIM('Raw Data'!A95))</f>
        <v>Chukwudi Abubakar</v>
      </c>
      <c r="B90" s="1" t="str">
        <f>IF('Raw Data'!B95="","Missing",LOWER(TRIM('Raw Data'!B95)))</f>
        <v>chukwudi.abubakar6@outlook.com</v>
      </c>
      <c r="C90" s="1" t="str">
        <f>IF('Raw Data'!C95="","Missing",TRIM('Raw Data'!C95))</f>
        <v>0497-465-0752</v>
      </c>
      <c r="D90" s="1" t="str">
        <f>IF('Raw Data'!D95="","Missing",PROPER(TRIM('Raw Data'!D95)))</f>
        <v>Ibadan</v>
      </c>
      <c r="E90" s="3">
        <f>IF(ISNUMBER(SEARCH("/",'Raw Data'!E90)),DATE(VALUE(RIGHT('Raw Data'!E90,4)),VALUE(MID('Raw Data'!E90,4,2)),VALUE(LEFT('Raw Data'!E90,2))),DATE(VALUE(LEFT('Raw Data'!E90,4)),VALUE(MID('Raw Data'!E90,6,2)),VALUE(RIGHT('Raw Data'!E90,2))))</f>
        <v>45451</v>
      </c>
      <c r="F90" s="1" t="str">
        <f>PROPER('Raw Data'!F95)</f>
        <v>Handbag</v>
      </c>
      <c r="G90" s="1">
        <v>2</v>
      </c>
      <c r="H90" s="1">
        <v>5000</v>
      </c>
      <c r="I90" s="1">
        <f t="shared" si="2"/>
        <v>10000</v>
      </c>
    </row>
    <row r="91" spans="1:9" x14ac:dyDescent="0.35">
      <c r="A91" s="1" t="str">
        <f>PROPER(TRIM('Raw Data'!A96))</f>
        <v>Chinedu Okoro</v>
      </c>
      <c r="B91" s="1" t="str">
        <f>IF('Raw Data'!B96="","Missing",LOWER(TRIM('Raw Data'!B96)))</f>
        <v>chinedu.okoro@gmail.com</v>
      </c>
      <c r="C91" s="1" t="str">
        <f>IF('Raw Data'!C96="","Missing",TRIM('Raw Data'!C96))</f>
        <v>03253659368</v>
      </c>
      <c r="D91" s="1" t="str">
        <f>IF('Raw Data'!D96="","Missing",PROPER(TRIM('Raw Data'!D96)))</f>
        <v>Kano</v>
      </c>
      <c r="E91" s="3">
        <f>IF(ISNUMBER(SEARCH("/",'Raw Data'!E91)),DATE(VALUE(RIGHT('Raw Data'!E91,4)),VALUE(MID('Raw Data'!E91,4,2)),VALUE(LEFT('Raw Data'!E91,2))),DATE(VALUE(LEFT('Raw Data'!E91,4)),VALUE(MID('Raw Data'!E91,6,2)),VALUE(RIGHT('Raw Data'!E91,2))))</f>
        <v>45435</v>
      </c>
      <c r="F91" s="1" t="str">
        <f>PROPER('Raw Data'!F96)</f>
        <v>Handbag</v>
      </c>
      <c r="G91" s="1">
        <v>4</v>
      </c>
      <c r="H91" s="1">
        <v>5000</v>
      </c>
      <c r="I91" s="1">
        <f t="shared" si="2"/>
        <v>20000</v>
      </c>
    </row>
    <row r="92" spans="1:9" x14ac:dyDescent="0.35">
      <c r="A92" s="1" t="str">
        <f>PROPER(TRIM('Raw Data'!A97))</f>
        <v>Blessing Balogun</v>
      </c>
      <c r="B92" s="1" t="str">
        <f>IF('Raw Data'!B97="","Missing",LOWER(TRIM('Raw Data'!B97)))</f>
        <v>blessing.balogun@gmail.com</v>
      </c>
      <c r="C92" s="1" t="str">
        <f>IF('Raw Data'!C97="","Missing",TRIM('Raw Data'!C97))</f>
        <v>0098-326-3898</v>
      </c>
      <c r="D92" s="1" t="str">
        <f>IF('Raw Data'!D97="","Missing",PROPER(TRIM('Raw Data'!D97)))</f>
        <v>Ibadan</v>
      </c>
      <c r="E92" s="3">
        <f>IF(ISNUMBER(SEARCH("/",'Raw Data'!E92)),DATE(VALUE(RIGHT('Raw Data'!E92,4)),VALUE(MID('Raw Data'!E92,4,2)),VALUE(LEFT('Raw Data'!E92,2))),DATE(VALUE(LEFT('Raw Data'!E92,4)),VALUE(MID('Raw Data'!E92,6,2)),VALUE(RIGHT('Raw Data'!E92,2))))</f>
        <v>45332</v>
      </c>
      <c r="F92" s="1" t="str">
        <f>PROPER('Raw Data'!F97)</f>
        <v>Laptop</v>
      </c>
      <c r="G92" s="1">
        <v>5</v>
      </c>
      <c r="H92" s="1">
        <v>350000</v>
      </c>
      <c r="I92" s="1">
        <f t="shared" si="2"/>
        <v>1750000</v>
      </c>
    </row>
    <row r="93" spans="1:9" x14ac:dyDescent="0.35">
      <c r="A93" s="1" t="str">
        <f>PROPER(TRIM('Raw Data'!A98))</f>
        <v>Emeka Eze</v>
      </c>
      <c r="B93" s="1" t="str">
        <f>IF('Raw Data'!B98="","Missing",LOWER(TRIM('Raw Data'!B98)))</f>
        <v>emeka.eze@gmail.com</v>
      </c>
      <c r="C93" s="1" t="str">
        <f>IF('Raw Data'!C98="","Missing",TRIM('Raw Data'!C98))</f>
        <v>0420-750-9619</v>
      </c>
      <c r="D93" s="1" t="str">
        <f>IF('Raw Data'!D98="","Missing",PROPER(TRIM('Raw Data'!D98)))</f>
        <v>Abuja</v>
      </c>
      <c r="E93" s="3">
        <f>IF(ISNUMBER(SEARCH("/",'Raw Data'!E93)),DATE(VALUE(RIGHT('Raw Data'!E93,4)),VALUE(MID('Raw Data'!E93,4,2)),VALUE(LEFT('Raw Data'!E93,2))),DATE(VALUE(LEFT('Raw Data'!E93,4)),VALUE(MID('Raw Data'!E93,6,2)),VALUE(RIGHT('Raw Data'!E93,2))))</f>
        <v>45463</v>
      </c>
      <c r="F93" s="1" t="str">
        <f>PROPER('Raw Data'!F98)</f>
        <v>Blender</v>
      </c>
      <c r="G93" s="1">
        <v>1</v>
      </c>
      <c r="H93" s="1">
        <v>10000</v>
      </c>
      <c r="I93" s="1">
        <f t="shared" si="2"/>
        <v>10000</v>
      </c>
    </row>
    <row r="94" spans="1:9" x14ac:dyDescent="0.35">
      <c r="A94" s="1" t="str">
        <f>PROPER(TRIM('Raw Data'!A99))</f>
        <v>Tunde Nwachukwu</v>
      </c>
      <c r="B94" s="1" t="str">
        <f>IF('Raw Data'!B99="","Missing",LOWER(TRIM('Raw Data'!B99)))</f>
        <v>tunde.nwachukwu@yahoo.com</v>
      </c>
      <c r="C94" s="1" t="str">
        <f>IF('Raw Data'!C99="","Missing",TRIM('Raw Data'!C99))</f>
        <v>02611491316</v>
      </c>
      <c r="D94" s="1" t="str">
        <f>IF('Raw Data'!D99="","Missing",PROPER(TRIM('Raw Data'!D99)))</f>
        <v>Enugu</v>
      </c>
      <c r="E94" s="3">
        <f>IF(ISNUMBER(SEARCH("/",'Raw Data'!E94)),DATE(VALUE(RIGHT('Raw Data'!E94,4)),VALUE(MID('Raw Data'!E94,4,2)),VALUE(LEFT('Raw Data'!E94,2))),DATE(VALUE(LEFT('Raw Data'!E94,4)),VALUE(MID('Raw Data'!E94,6,2)),VALUE(RIGHT('Raw Data'!E94,2))))</f>
        <v>45292</v>
      </c>
      <c r="F94" s="1" t="str">
        <f>PROPER('Raw Data'!F99)</f>
        <v>Smartphone</v>
      </c>
      <c r="G94" s="1">
        <v>5</v>
      </c>
      <c r="H94" s="1">
        <v>250000</v>
      </c>
      <c r="I94" s="1">
        <f t="shared" si="2"/>
        <v>1250000</v>
      </c>
    </row>
    <row r="95" spans="1:9" x14ac:dyDescent="0.35">
      <c r="A95" s="1" t="str">
        <f>PROPER(TRIM('Raw Data'!A100))</f>
        <v>Amina Okafor</v>
      </c>
      <c r="B95" s="1" t="str">
        <f>IF('Raw Data'!B100="","Missing",LOWER(TRIM('Raw Data'!B100)))</f>
        <v>amina.okafor@outlook.com</v>
      </c>
      <c r="C95" s="1" t="str">
        <f>IF('Raw Data'!C100="","Missing",TRIM('Raw Data'!C100))</f>
        <v>0603-699-6393</v>
      </c>
      <c r="D95" s="1" t="str">
        <f>IF('Raw Data'!D100="","Missing",PROPER(TRIM('Raw Data'!D100)))</f>
        <v>Enugu</v>
      </c>
      <c r="E95" s="3">
        <f>IF(ISNUMBER(SEARCH("/",'Raw Data'!E95)),DATE(VALUE(RIGHT('Raw Data'!E95,4)),VALUE(MID('Raw Data'!E95,4,2)),VALUE(LEFT('Raw Data'!E95,2))),DATE(VALUE(LEFT('Raw Data'!E95,4)),VALUE(MID('Raw Data'!E95,6,2)),VALUE(RIGHT('Raw Data'!E95,2))))</f>
        <v>45428</v>
      </c>
      <c r="F95" s="1" t="str">
        <f>PROPER('Raw Data'!F100)</f>
        <v>Smartphone</v>
      </c>
      <c r="G95" s="1">
        <v>2</v>
      </c>
      <c r="H95" s="1">
        <v>250000</v>
      </c>
      <c r="I95" s="1">
        <f t="shared" si="2"/>
        <v>500000</v>
      </c>
    </row>
    <row r="96" spans="1:9" x14ac:dyDescent="0.35">
      <c r="A96" s="1" t="str">
        <f>PROPER(TRIM('Raw Data'!A101))</f>
        <v>Aisha Adekunle</v>
      </c>
      <c r="B96" s="1" t="str">
        <f>IF('Raw Data'!B101="","Missing",LOWER(TRIM('Raw Data'!B101)))</f>
        <v>aisha.adekunle@gmail.com</v>
      </c>
      <c r="C96" s="1" t="str">
        <f>IF('Raw Data'!C101="","Missing",TRIM('Raw Data'!C101))</f>
        <v>0062-611-6957</v>
      </c>
      <c r="D96" s="1" t="str">
        <f>IF('Raw Data'!D101="","Missing",PROPER(TRIM('Raw Data'!D101)))</f>
        <v>Abuja</v>
      </c>
      <c r="E96" s="3">
        <f>IF(ISNUMBER(SEARCH("/",'Raw Data'!E96)),DATE(VALUE(RIGHT('Raw Data'!E96,4)),VALUE(MID('Raw Data'!E96,4,2)),VALUE(LEFT('Raw Data'!E96,2))),DATE(VALUE(LEFT('Raw Data'!E96,4)),VALUE(MID('Raw Data'!E96,6,2)),VALUE(RIGHT('Raw Data'!E96,2))))</f>
        <v>45373</v>
      </c>
      <c r="F96" s="1" t="str">
        <f>PROPER('Raw Data'!F101)</f>
        <v>Headphones</v>
      </c>
      <c r="G96" s="1">
        <v>2</v>
      </c>
      <c r="H96" s="1">
        <v>70000</v>
      </c>
      <c r="I96" s="1">
        <f t="shared" si="2"/>
        <v>140000</v>
      </c>
    </row>
    <row r="97" spans="1:9" x14ac:dyDescent="0.35">
      <c r="A97" s="1" t="str">
        <f>PROPER(TRIM('Raw Data'!A102))</f>
        <v>Bisi Bello</v>
      </c>
      <c r="B97" s="1" t="str">
        <f>IF('Raw Data'!B102="","Missing",LOWER(TRIM('Raw Data'!B102)))</f>
        <v>Missing</v>
      </c>
      <c r="C97" s="1" t="str">
        <f>IF('Raw Data'!C102="","Missing",TRIM('Raw Data'!C102))</f>
        <v>01836546107</v>
      </c>
      <c r="D97" s="1" t="str">
        <f>IF('Raw Data'!D102="","Missing",PROPER(TRIM('Raw Data'!D102)))</f>
        <v>Kano</v>
      </c>
      <c r="E97" s="3">
        <f>IF(ISNUMBER(SEARCH("/",'Raw Data'!E97)),DATE(VALUE(RIGHT('Raw Data'!E97,4)),VALUE(MID('Raw Data'!E97,4,2)),VALUE(LEFT('Raw Data'!E97,2))),DATE(VALUE(LEFT('Raw Data'!E97,4)),VALUE(MID('Raw Data'!E97,6,2)),VALUE(RIGHT('Raw Data'!E97,2))))</f>
        <v>45413</v>
      </c>
      <c r="F97" s="1" t="str">
        <f>PROPER('Raw Data'!F102)</f>
        <v>Television</v>
      </c>
      <c r="G97" s="1">
        <v>2</v>
      </c>
      <c r="H97" s="1">
        <v>300000</v>
      </c>
      <c r="I97" s="1">
        <f t="shared" si="2"/>
        <v>600000</v>
      </c>
    </row>
    <row r="98" spans="1:9" x14ac:dyDescent="0.35">
      <c r="A98" s="1" t="str">
        <f>PROPER(TRIM('Raw Data'!A104))</f>
        <v>Aisha Ibrahim</v>
      </c>
      <c r="B98" s="1" t="str">
        <f>IF('Raw Data'!B104="","Missing",LOWER(TRIM('Raw Data'!B104)))</f>
        <v>aisha.ibrahim@outlook.com</v>
      </c>
      <c r="C98" s="1" t="str">
        <f>IF('Raw Data'!C104="","Missing",TRIM('Raw Data'!C104))</f>
        <v>0505-877-0658</v>
      </c>
      <c r="D98" s="1" t="str">
        <f>IF('Raw Data'!D104="","Missing",PROPER(TRIM('Raw Data'!D104)))</f>
        <v>Kano</v>
      </c>
      <c r="E98" s="3">
        <f>IF(ISNUMBER(SEARCH("/",'Raw Data'!E98)),DATE(VALUE(RIGHT('Raw Data'!E98,4)),VALUE(MID('Raw Data'!E98,4,2)),VALUE(LEFT('Raw Data'!E98,2))),DATE(VALUE(LEFT('Raw Data'!E98,4)),VALUE(MID('Raw Data'!E98,6,2)),VALUE(RIGHT('Raw Data'!E98,2))))</f>
        <v>45463</v>
      </c>
      <c r="F98" s="1" t="str">
        <f>PROPER('Raw Data'!F104)</f>
        <v>Sneakers</v>
      </c>
      <c r="G98" s="1">
        <v>4</v>
      </c>
      <c r="H98" s="1">
        <v>40000</v>
      </c>
      <c r="I98" s="1">
        <f t="shared" ref="I98:I106" si="3">G98*H98</f>
        <v>160000</v>
      </c>
    </row>
    <row r="99" spans="1:9" x14ac:dyDescent="0.35">
      <c r="A99" s="1" t="str">
        <f>PROPER(TRIM('Raw Data'!A105))</f>
        <v>Chinedu Okafor</v>
      </c>
      <c r="B99" s="1" t="str">
        <f>IF('Raw Data'!B105="","Missing",LOWER(TRIM('Raw Data'!B105)))</f>
        <v>chinedu.okafor@outlook.com</v>
      </c>
      <c r="C99" s="1" t="str">
        <f>IF('Raw Data'!C105="","Missing",TRIM('Raw Data'!C105))</f>
        <v>0387-371-6786</v>
      </c>
      <c r="D99" s="1" t="str">
        <f>IF('Raw Data'!D105="","Missing",PROPER(TRIM('Raw Data'!D105)))</f>
        <v>Port Harcourt</v>
      </c>
      <c r="E99" s="3">
        <f>IF(ISNUMBER(SEARCH("/",'Raw Data'!E99)),DATE(VALUE(RIGHT('Raw Data'!E99,4)),VALUE(MID('Raw Data'!E99,4,2)),VALUE(LEFT('Raw Data'!E99,2))),DATE(VALUE(LEFT('Raw Data'!E99,4)),VALUE(MID('Raw Data'!E99,6,2)),VALUE(RIGHT('Raw Data'!E99,2))))</f>
        <v>45310</v>
      </c>
      <c r="F99" s="1" t="str">
        <f>PROPER('Raw Data'!F105)</f>
        <v>Handbag</v>
      </c>
      <c r="G99" s="1">
        <v>2</v>
      </c>
      <c r="H99" s="1">
        <v>5000</v>
      </c>
      <c r="I99" s="1">
        <f t="shared" si="3"/>
        <v>10000</v>
      </c>
    </row>
    <row r="100" spans="1:9" x14ac:dyDescent="0.35">
      <c r="A100" s="1" t="str">
        <f>PROPER(TRIM('Raw Data'!A106))</f>
        <v>Chiamaka Balogun</v>
      </c>
      <c r="B100" s="1" t="str">
        <f>IF('Raw Data'!B106="","Missing",LOWER(TRIM('Raw Data'!B106)))</f>
        <v>Missing</v>
      </c>
      <c r="C100" s="1" t="str">
        <f>IF('Raw Data'!C106="","Missing",TRIM('Raw Data'!C106))</f>
        <v>0483-478-2450</v>
      </c>
      <c r="D100" s="1" t="str">
        <f>IF('Raw Data'!D106="","Missing",PROPER(TRIM('Raw Data'!D106)))</f>
        <v>Lagos</v>
      </c>
      <c r="E100" s="3">
        <f>IF(ISNUMBER(SEARCH("/",'Raw Data'!E100)),DATE(VALUE(RIGHT('Raw Data'!E100,4)),VALUE(MID('Raw Data'!E100,4,2)),VALUE(LEFT('Raw Data'!E100,2))),DATE(VALUE(LEFT('Raw Data'!E100,4)),VALUE(MID('Raw Data'!E100,6,2)),VALUE(RIGHT('Raw Data'!E100,2))))</f>
        <v>45436</v>
      </c>
      <c r="F100" s="1" t="str">
        <f>PROPER('Raw Data'!F106)</f>
        <v>Laptop</v>
      </c>
      <c r="G100" s="1">
        <v>5</v>
      </c>
      <c r="H100" s="1">
        <v>350000</v>
      </c>
      <c r="I100" s="1">
        <f t="shared" si="3"/>
        <v>1750000</v>
      </c>
    </row>
    <row r="101" spans="1:9" x14ac:dyDescent="0.35">
      <c r="A101" s="1" t="str">
        <f>PROPER(TRIM('Raw Data'!A107))</f>
        <v>Blessing Okonkwo</v>
      </c>
      <c r="B101" s="1" t="str">
        <f>IF('Raw Data'!B107="","Missing",LOWER(TRIM('Raw Data'!B107)))</f>
        <v>blessing.okonkwo96@gmail.com</v>
      </c>
      <c r="C101" s="1" t="str">
        <f>IF('Raw Data'!C107="","Missing",TRIM('Raw Data'!C107))</f>
        <v>04005717279</v>
      </c>
      <c r="D101" s="1" t="str">
        <f>IF('Raw Data'!D107="","Missing",PROPER(TRIM('Raw Data'!D107)))</f>
        <v>Kano</v>
      </c>
      <c r="E101" s="3">
        <f>IF(ISNUMBER(SEARCH("/",'Raw Data'!E101)),DATE(VALUE(RIGHT('Raw Data'!E101,4)),VALUE(MID('Raw Data'!E101,4,2)),VALUE(LEFT('Raw Data'!E101,2))),DATE(VALUE(LEFT('Raw Data'!E101,4)),VALUE(MID('Raw Data'!E101,6,2)),VALUE(RIGHT('Raw Data'!E101,2))))</f>
        <v>45440</v>
      </c>
      <c r="F101" s="1" t="str">
        <f>PROPER('Raw Data'!F107)</f>
        <v>Handbag</v>
      </c>
      <c r="G101" s="1">
        <v>2</v>
      </c>
      <c r="H101" s="1">
        <v>5000</v>
      </c>
      <c r="I101" s="1">
        <f t="shared" si="3"/>
        <v>10000</v>
      </c>
    </row>
    <row r="102" spans="1:9" x14ac:dyDescent="0.35">
      <c r="A102" s="1" t="str">
        <f>PROPER(TRIM('Raw Data'!A108))</f>
        <v>Tobi Lawal</v>
      </c>
      <c r="B102" s="1" t="str">
        <f>IF('Raw Data'!B108="","Missing",LOWER(TRIM('Raw Data'!B108)))</f>
        <v>tobi.lawal@yahoo.com</v>
      </c>
      <c r="C102" s="1" t="str">
        <f>IF('Raw Data'!C108="","Missing",TRIM('Raw Data'!C108))</f>
        <v>Missing</v>
      </c>
      <c r="D102" s="1" t="str">
        <f>IF('Raw Data'!D108="","Missing",PROPER(TRIM('Raw Data'!D108)))</f>
        <v>Port Harcourt</v>
      </c>
      <c r="E102" s="3">
        <f>IF(ISNUMBER(SEARCH("/",'Raw Data'!E102)),DATE(VALUE(RIGHT('Raw Data'!E102,4)),VALUE(MID('Raw Data'!E102,4,2)),VALUE(LEFT('Raw Data'!E102,2))),DATE(VALUE(LEFT('Raw Data'!E102,4)),VALUE(MID('Raw Data'!E102,6,2)),VALUE(RIGHT('Raw Data'!E102,2))))</f>
        <v>45446</v>
      </c>
      <c r="F102" s="1" t="str">
        <f>PROPER('Raw Data'!F108)</f>
        <v>Laptop</v>
      </c>
      <c r="G102" s="1">
        <v>1</v>
      </c>
      <c r="H102" s="1">
        <v>350000</v>
      </c>
      <c r="I102" s="1">
        <f t="shared" si="3"/>
        <v>350000</v>
      </c>
    </row>
    <row r="103" spans="1:9" x14ac:dyDescent="0.35">
      <c r="A103" s="1" t="str">
        <f>PROPER(TRIM('Raw Data'!A109))</f>
        <v>Damilola Yusuf</v>
      </c>
      <c r="B103" s="1" t="str">
        <f>IF('Raw Data'!B109="","Missing",LOWER(TRIM('Raw Data'!B109)))</f>
        <v>damilola.yusuf@gmail.com</v>
      </c>
      <c r="C103" s="1" t="str">
        <f>IF('Raw Data'!C109="","Missing",TRIM('Raw Data'!C109))</f>
        <v>0436-700-6638</v>
      </c>
      <c r="D103" s="1" t="str">
        <f>IF('Raw Data'!D109="","Missing",PROPER(TRIM('Raw Data'!D109)))</f>
        <v>Missing</v>
      </c>
      <c r="E103" s="3">
        <f>IF(ISNUMBER(SEARCH("/",'Raw Data'!E103)),DATE(VALUE(RIGHT('Raw Data'!E103,4)),VALUE(MID('Raw Data'!E103,4,2)),VALUE(LEFT('Raw Data'!E103,2))),DATE(VALUE(LEFT('Raw Data'!E103,4)),VALUE(MID('Raw Data'!E103,6,2)),VALUE(RIGHT('Raw Data'!E103,2))))</f>
        <v>45295</v>
      </c>
      <c r="F103" s="1" t="str">
        <f>PROPER('Raw Data'!F109)</f>
        <v>Laptop</v>
      </c>
      <c r="G103" s="1">
        <v>2</v>
      </c>
      <c r="H103" s="1">
        <v>350000</v>
      </c>
      <c r="I103" s="1">
        <f t="shared" si="3"/>
        <v>700000</v>
      </c>
    </row>
    <row r="104" spans="1:9" x14ac:dyDescent="0.35">
      <c r="A104" s="1" t="str">
        <f>PROPER(TRIM('Raw Data'!A112))</f>
        <v>Abdullahi Bello</v>
      </c>
      <c r="B104" s="1" t="str">
        <f>IF('Raw Data'!B112="","Missing",LOWER(TRIM('Raw Data'!B112)))</f>
        <v>abdullahi.bello@yahoo.com</v>
      </c>
      <c r="C104" s="1" t="str">
        <f>IF('Raw Data'!C112="","Missing",TRIM('Raw Data'!C112))</f>
        <v>0632-122-3307</v>
      </c>
      <c r="D104" s="1" t="str">
        <f>IF('Raw Data'!D112="","Missing",PROPER(TRIM('Raw Data'!D112)))</f>
        <v>Abuja</v>
      </c>
      <c r="E104" s="3">
        <f>IF(ISNUMBER(SEARCH("/",'Raw Data'!E104)),DATE(VALUE(RIGHT('Raw Data'!E104,4)),VALUE(MID('Raw Data'!E104,4,2)),VALUE(LEFT('Raw Data'!E104,2))),DATE(VALUE(LEFT('Raw Data'!E104,4)),VALUE(MID('Raw Data'!E104,6,2)),VALUE(RIGHT('Raw Data'!E104,2))))</f>
        <v>45438</v>
      </c>
      <c r="F104" s="1" t="str">
        <f>PROPER('Raw Data'!F112)</f>
        <v>Blender</v>
      </c>
      <c r="G104" s="1">
        <v>3</v>
      </c>
      <c r="H104" s="1">
        <v>10000</v>
      </c>
      <c r="I104" s="1">
        <f t="shared" si="3"/>
        <v>30000</v>
      </c>
    </row>
    <row r="105" spans="1:9" x14ac:dyDescent="0.35">
      <c r="A105" s="1" t="str">
        <f>PROPER(TRIM('Raw Data'!A113))</f>
        <v>Funke Umeh</v>
      </c>
      <c r="B105" s="1" t="str">
        <f>IF('Raw Data'!B113="","Missing",LOWER(TRIM('Raw Data'!B113)))</f>
        <v>funke.umeh@outlook.com</v>
      </c>
      <c r="C105" s="1" t="str">
        <f>IF('Raw Data'!C113="","Missing",TRIM('Raw Data'!C113))</f>
        <v>05393363387</v>
      </c>
      <c r="D105" s="1" t="str">
        <f>IF('Raw Data'!D113="","Missing",PROPER(TRIM('Raw Data'!D113)))</f>
        <v>Lagos</v>
      </c>
      <c r="E105" s="3">
        <f>IF(ISNUMBER(SEARCH("/",'Raw Data'!E105)),DATE(VALUE(RIGHT('Raw Data'!E105,4)),VALUE(MID('Raw Data'!E105,4,2)),VALUE(LEFT('Raw Data'!E105,2))),DATE(VALUE(LEFT('Raw Data'!E105,4)),VALUE(MID('Raw Data'!E105,6,2)),VALUE(RIGHT('Raw Data'!E105,2))))</f>
        <v>45406</v>
      </c>
      <c r="F105" s="1" t="str">
        <f>PROPER('Raw Data'!F113)</f>
        <v>Headphones</v>
      </c>
      <c r="G105" s="1">
        <v>5</v>
      </c>
      <c r="H105" s="1">
        <v>70000</v>
      </c>
      <c r="I105" s="1">
        <f t="shared" si="3"/>
        <v>350000</v>
      </c>
    </row>
    <row r="106" spans="1:9" x14ac:dyDescent="0.35">
      <c r="A106" s="1" t="str">
        <f>PROPER(TRIM('Raw Data'!A114))</f>
        <v>Victor Lawal</v>
      </c>
      <c r="B106" s="1" t="str">
        <f>IF('Raw Data'!B114="","Missing",LOWER(TRIM('Raw Data'!B114)))</f>
        <v>victor.lawal@yahoo.com</v>
      </c>
      <c r="C106" s="1" t="str">
        <f>IF('Raw Data'!C114="","Missing",TRIM('Raw Data'!C114))</f>
        <v>Missing</v>
      </c>
      <c r="D106" s="1" t="str">
        <f>IF('Raw Data'!D114="","Missing",PROPER(TRIM('Raw Data'!D114)))</f>
        <v>Kano</v>
      </c>
      <c r="E106" s="3">
        <f>IF(ISNUMBER(SEARCH("/",'Raw Data'!E106)),DATE(VALUE(RIGHT('Raw Data'!E106,4)),VALUE(MID('Raw Data'!E106,4,2)),VALUE(LEFT('Raw Data'!E106,2))),DATE(VALUE(LEFT('Raw Data'!E106,4)),VALUE(MID('Raw Data'!E106,6,2)),VALUE(RIGHT('Raw Data'!E106,2))))</f>
        <v>45339</v>
      </c>
      <c r="F106" s="1" t="str">
        <f>PROPER('Raw Data'!F114)</f>
        <v>Handbag</v>
      </c>
      <c r="G106" s="1">
        <v>5</v>
      </c>
      <c r="H106" s="1">
        <v>5000</v>
      </c>
      <c r="I106" s="1">
        <f t="shared" si="3"/>
        <v>25000</v>
      </c>
    </row>
  </sheetData>
  <autoFilter ref="A1:I106" xr:uid="{EEEF677F-D8E2-4518-98B4-8B520BB4FED8}"/>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D37A-6537-4A56-9DA6-DBDDED08F909}">
  <dimension ref="A1:P24"/>
  <sheetViews>
    <sheetView workbookViewId="0">
      <selection activeCell="P16" sqref="P16"/>
    </sheetView>
  </sheetViews>
  <sheetFormatPr defaultRowHeight="14.5" x14ac:dyDescent="0.35"/>
  <cols>
    <col min="1" max="1" width="11.36328125" bestFit="1" customWidth="1"/>
    <col min="2" max="2" width="15.453125" bestFit="1" customWidth="1"/>
    <col min="3" max="3" width="8.26953125" bestFit="1" customWidth="1"/>
    <col min="4" max="5" width="8.26953125" customWidth="1"/>
    <col min="6" max="6" width="11.36328125" bestFit="1" customWidth="1"/>
    <col min="7" max="7" width="15.453125" bestFit="1" customWidth="1"/>
    <col min="8" max="8" width="15.26953125" bestFit="1" customWidth="1"/>
    <col min="9" max="9" width="8.26953125" bestFit="1" customWidth="1"/>
    <col min="10" max="10" width="11.36328125" bestFit="1" customWidth="1"/>
    <col min="11" max="11" width="6.6328125" bestFit="1" customWidth="1"/>
    <col min="12" max="12" width="11.1796875" bestFit="1" customWidth="1"/>
    <col min="13" max="13" width="8.36328125" bestFit="1" customWidth="1"/>
    <col min="14" max="14" width="9.08984375" bestFit="1" customWidth="1"/>
    <col min="15" max="15" width="11.26953125" bestFit="1" customWidth="1"/>
    <col min="16" max="16" width="10.7265625" bestFit="1" customWidth="1"/>
    <col min="17" max="74" width="10.453125" bestFit="1" customWidth="1"/>
    <col min="75" max="75" width="10.7265625" bestFit="1" customWidth="1"/>
  </cols>
  <sheetData>
    <row r="1" spans="1:16" x14ac:dyDescent="0.35">
      <c r="A1" s="12" t="s">
        <v>470</v>
      </c>
      <c r="B1" s="12"/>
      <c r="C1" s="12"/>
      <c r="D1" s="12"/>
      <c r="E1" s="12"/>
      <c r="F1" s="12"/>
      <c r="G1" s="12"/>
      <c r="H1" s="12"/>
    </row>
    <row r="2" spans="1:16" x14ac:dyDescent="0.35">
      <c r="A2" s="13" t="s">
        <v>477</v>
      </c>
      <c r="B2" s="13"/>
      <c r="C2" s="13"/>
      <c r="D2" s="13"/>
      <c r="E2" s="13"/>
      <c r="F2" s="13"/>
      <c r="G2" s="13"/>
      <c r="H2" s="13"/>
    </row>
    <row r="3" spans="1:16" x14ac:dyDescent="0.35">
      <c r="A3" s="9" t="s">
        <v>5</v>
      </c>
      <c r="B3" t="s">
        <v>468</v>
      </c>
      <c r="G3" s="9" t="s">
        <v>463</v>
      </c>
      <c r="H3" t="s">
        <v>467</v>
      </c>
    </row>
    <row r="4" spans="1:16" x14ac:dyDescent="0.35">
      <c r="A4" t="s">
        <v>40</v>
      </c>
      <c r="B4" s="11">
        <v>14</v>
      </c>
      <c r="G4" s="10" t="s">
        <v>471</v>
      </c>
      <c r="H4" s="11">
        <v>11620000</v>
      </c>
    </row>
    <row r="5" spans="1:16" x14ac:dyDescent="0.35">
      <c r="A5" t="s">
        <v>112</v>
      </c>
      <c r="B5" s="11">
        <v>14</v>
      </c>
      <c r="G5" s="10" t="s">
        <v>472</v>
      </c>
      <c r="H5" s="11">
        <v>10175000</v>
      </c>
    </row>
    <row r="6" spans="1:16" x14ac:dyDescent="0.35">
      <c r="A6" t="s">
        <v>60</v>
      </c>
      <c r="B6" s="11">
        <v>11</v>
      </c>
      <c r="G6" s="10" t="s">
        <v>473</v>
      </c>
      <c r="H6" s="11">
        <v>1120000</v>
      </c>
    </row>
    <row r="7" spans="1:16" x14ac:dyDescent="0.35">
      <c r="A7" t="s">
        <v>131</v>
      </c>
      <c r="B7" s="11">
        <v>16</v>
      </c>
      <c r="G7" s="10" t="s">
        <v>474</v>
      </c>
      <c r="H7" s="11">
        <v>6125000</v>
      </c>
    </row>
    <row r="8" spans="1:16" x14ac:dyDescent="0.35">
      <c r="A8" t="s">
        <v>35</v>
      </c>
      <c r="B8" s="11">
        <v>15</v>
      </c>
      <c r="G8" s="10" t="s">
        <v>475</v>
      </c>
      <c r="H8" s="11">
        <v>11465000</v>
      </c>
    </row>
    <row r="9" spans="1:16" x14ac:dyDescent="0.35">
      <c r="A9" t="s">
        <v>123</v>
      </c>
      <c r="B9" s="11">
        <v>7</v>
      </c>
      <c r="G9" s="10" t="s">
        <v>476</v>
      </c>
      <c r="H9" s="11">
        <v>3930000</v>
      </c>
    </row>
    <row r="10" spans="1:16" x14ac:dyDescent="0.35">
      <c r="A10" t="s">
        <v>95</v>
      </c>
      <c r="B10" s="11">
        <v>11</v>
      </c>
      <c r="G10" s="10" t="s">
        <v>465</v>
      </c>
      <c r="H10" s="11">
        <v>44435000</v>
      </c>
    </row>
    <row r="11" spans="1:16" x14ac:dyDescent="0.35">
      <c r="A11" t="s">
        <v>73</v>
      </c>
      <c r="B11" s="11">
        <v>17</v>
      </c>
    </row>
    <row r="13" spans="1:16" x14ac:dyDescent="0.35">
      <c r="A13" s="9" t="s">
        <v>463</v>
      </c>
      <c r="B13" t="s">
        <v>467</v>
      </c>
      <c r="G13" s="9" t="s">
        <v>468</v>
      </c>
      <c r="H13" s="9" t="s">
        <v>466</v>
      </c>
    </row>
    <row r="14" spans="1:16" x14ac:dyDescent="0.35">
      <c r="A14" s="10" t="s">
        <v>59</v>
      </c>
      <c r="B14" s="11">
        <v>3705000</v>
      </c>
      <c r="G14" s="9" t="s">
        <v>463</v>
      </c>
      <c r="H14" t="s">
        <v>40</v>
      </c>
      <c r="I14" t="s">
        <v>112</v>
      </c>
      <c r="J14" t="s">
        <v>60</v>
      </c>
      <c r="K14" t="s">
        <v>131</v>
      </c>
      <c r="L14" t="s">
        <v>35</v>
      </c>
      <c r="M14" t="s">
        <v>123</v>
      </c>
      <c r="N14" t="s">
        <v>95</v>
      </c>
      <c r="O14" t="s">
        <v>73</v>
      </c>
      <c r="P14" t="s">
        <v>465</v>
      </c>
    </row>
    <row r="15" spans="1:16" x14ac:dyDescent="0.35">
      <c r="A15" s="10" t="s">
        <v>245</v>
      </c>
      <c r="B15" s="11">
        <v>3605000</v>
      </c>
      <c r="G15" s="10" t="s">
        <v>59</v>
      </c>
      <c r="H15" s="11">
        <v>5</v>
      </c>
      <c r="I15" s="11">
        <v>1</v>
      </c>
      <c r="J15" s="11">
        <v>3</v>
      </c>
      <c r="K15" s="11">
        <v>1</v>
      </c>
      <c r="L15" s="11"/>
      <c r="M15" s="11">
        <v>2</v>
      </c>
      <c r="N15" s="11">
        <v>2</v>
      </c>
      <c r="O15" s="11">
        <v>4</v>
      </c>
      <c r="P15" s="11">
        <v>18</v>
      </c>
    </row>
    <row r="16" spans="1:16" x14ac:dyDescent="0.35">
      <c r="A16" s="10" t="s">
        <v>355</v>
      </c>
      <c r="B16" s="11">
        <v>5160000</v>
      </c>
      <c r="G16" s="10" t="s">
        <v>245</v>
      </c>
      <c r="H16" s="11">
        <v>2</v>
      </c>
      <c r="I16" s="11">
        <v>1</v>
      </c>
      <c r="J16" s="11"/>
      <c r="K16" s="11"/>
      <c r="L16" s="11">
        <v>4</v>
      </c>
      <c r="M16" s="11"/>
      <c r="N16" s="11"/>
      <c r="O16" s="11">
        <v>3</v>
      </c>
      <c r="P16" s="11">
        <v>10</v>
      </c>
    </row>
    <row r="17" spans="1:16" x14ac:dyDescent="0.35">
      <c r="A17" s="10" t="s">
        <v>139</v>
      </c>
      <c r="B17" s="11">
        <v>5980000</v>
      </c>
      <c r="G17" s="10" t="s">
        <v>355</v>
      </c>
      <c r="H17" s="11">
        <v>2</v>
      </c>
      <c r="I17" s="11">
        <v>3</v>
      </c>
      <c r="J17" s="11">
        <v>1</v>
      </c>
      <c r="K17" s="11">
        <v>2</v>
      </c>
      <c r="L17" s="11">
        <v>3</v>
      </c>
      <c r="M17" s="11">
        <v>1</v>
      </c>
      <c r="N17" s="11">
        <v>1</v>
      </c>
      <c r="O17" s="11">
        <v>1</v>
      </c>
      <c r="P17" s="11">
        <v>14</v>
      </c>
    </row>
    <row r="18" spans="1:16" x14ac:dyDescent="0.35">
      <c r="A18" s="10" t="s">
        <v>204</v>
      </c>
      <c r="B18" s="11">
        <v>9910000</v>
      </c>
      <c r="G18" s="10" t="s">
        <v>139</v>
      </c>
      <c r="H18" s="11">
        <v>2</v>
      </c>
      <c r="I18" s="11">
        <v>5</v>
      </c>
      <c r="J18" s="11">
        <v>1</v>
      </c>
      <c r="K18" s="11"/>
      <c r="L18" s="11">
        <v>3</v>
      </c>
      <c r="M18" s="11">
        <v>2</v>
      </c>
      <c r="N18" s="11">
        <v>2</v>
      </c>
      <c r="O18" s="11">
        <v>6</v>
      </c>
      <c r="P18" s="11">
        <v>21</v>
      </c>
    </row>
    <row r="19" spans="1:16" x14ac:dyDescent="0.35">
      <c r="A19" s="10" t="s">
        <v>469</v>
      </c>
      <c r="B19" s="11">
        <v>2605000</v>
      </c>
      <c r="G19" s="10" t="s">
        <v>204</v>
      </c>
      <c r="H19" s="11">
        <v>2</v>
      </c>
      <c r="I19" s="11">
        <v>2</v>
      </c>
      <c r="J19" s="11">
        <v>5</v>
      </c>
      <c r="K19" s="11">
        <v>3</v>
      </c>
      <c r="L19" s="11"/>
      <c r="M19" s="11">
        <v>1</v>
      </c>
      <c r="N19" s="11">
        <v>4</v>
      </c>
      <c r="O19" s="11">
        <v>1</v>
      </c>
      <c r="P19" s="11">
        <v>18</v>
      </c>
    </row>
    <row r="20" spans="1:16" x14ac:dyDescent="0.35">
      <c r="A20" s="10" t="s">
        <v>144</v>
      </c>
      <c r="B20" s="11">
        <v>13470000</v>
      </c>
      <c r="G20" s="10" t="s">
        <v>469</v>
      </c>
      <c r="H20" s="11"/>
      <c r="I20" s="11">
        <v>1</v>
      </c>
      <c r="J20" s="11"/>
      <c r="K20" s="11">
        <v>2</v>
      </c>
      <c r="L20" s="11">
        <v>2</v>
      </c>
      <c r="M20" s="11">
        <v>1</v>
      </c>
      <c r="N20" s="11"/>
      <c r="O20" s="11"/>
      <c r="P20" s="11">
        <v>6</v>
      </c>
    </row>
    <row r="21" spans="1:16" x14ac:dyDescent="0.35">
      <c r="A21" s="10" t="s">
        <v>464</v>
      </c>
      <c r="B21" s="11"/>
      <c r="G21" s="10" t="s">
        <v>144</v>
      </c>
      <c r="H21" s="11">
        <v>1</v>
      </c>
      <c r="I21" s="11">
        <v>1</v>
      </c>
      <c r="J21" s="11">
        <v>1</v>
      </c>
      <c r="K21" s="11">
        <v>8</v>
      </c>
      <c r="L21" s="11">
        <v>3</v>
      </c>
      <c r="M21" s="11"/>
      <c r="N21" s="11">
        <v>2</v>
      </c>
      <c r="O21" s="11">
        <v>2</v>
      </c>
      <c r="P21" s="11">
        <v>18</v>
      </c>
    </row>
    <row r="22" spans="1:16" x14ac:dyDescent="0.35">
      <c r="A22" s="10" t="s">
        <v>465</v>
      </c>
      <c r="B22" s="11">
        <v>44435000</v>
      </c>
      <c r="G22" s="10" t="s">
        <v>465</v>
      </c>
      <c r="H22" s="11">
        <v>14</v>
      </c>
      <c r="I22" s="11">
        <v>14</v>
      </c>
      <c r="J22" s="11">
        <v>11</v>
      </c>
      <c r="K22" s="11">
        <v>16</v>
      </c>
      <c r="L22" s="11">
        <v>15</v>
      </c>
      <c r="M22" s="11">
        <v>7</v>
      </c>
      <c r="N22" s="11">
        <v>11</v>
      </c>
      <c r="O22" s="11">
        <v>17</v>
      </c>
      <c r="P22" s="11">
        <v>105</v>
      </c>
    </row>
    <row r="24" spans="1:16" x14ac:dyDescent="0.35">
      <c r="A24" s="5"/>
      <c r="B24" s="5"/>
    </row>
  </sheetData>
  <mergeCells count="2">
    <mergeCell ref="A1:H1"/>
    <mergeCell ref="A2:H2"/>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6429C-95CB-42B5-89C9-75AF4F1CE39A}">
  <dimension ref="A1:Q8"/>
  <sheetViews>
    <sheetView tabSelected="1" workbookViewId="0">
      <selection activeCell="P15" sqref="P15"/>
    </sheetView>
  </sheetViews>
  <sheetFormatPr defaultRowHeight="14.5" x14ac:dyDescent="0.35"/>
  <cols>
    <col min="17" max="17" width="13.6328125" bestFit="1" customWidth="1"/>
  </cols>
  <sheetData>
    <row r="1" spans="1:17" x14ac:dyDescent="0.35">
      <c r="A1" s="4" t="s">
        <v>462</v>
      </c>
      <c r="B1" s="4"/>
      <c r="C1" s="4"/>
      <c r="D1" s="4"/>
      <c r="E1" s="4"/>
      <c r="F1" s="4"/>
      <c r="G1" s="4"/>
      <c r="H1" s="4"/>
      <c r="I1" s="4"/>
      <c r="J1" s="4"/>
      <c r="K1" s="4"/>
      <c r="L1" s="4"/>
      <c r="M1" s="4"/>
      <c r="N1" s="4"/>
      <c r="O1" s="4"/>
    </row>
    <row r="2" spans="1:17" x14ac:dyDescent="0.35">
      <c r="A2" s="4"/>
      <c r="B2" s="4"/>
      <c r="C2" s="4"/>
      <c r="D2" s="4"/>
      <c r="E2" s="4"/>
      <c r="F2" s="4"/>
      <c r="G2" s="4"/>
      <c r="H2" s="4"/>
      <c r="I2" s="4"/>
      <c r="J2" s="4"/>
      <c r="K2" s="4"/>
      <c r="L2" s="4"/>
      <c r="M2" s="4"/>
      <c r="N2" s="4"/>
      <c r="O2" s="4"/>
    </row>
    <row r="3" spans="1:17" s="5" customFormat="1" ht="15" customHeight="1" x14ac:dyDescent="0.35">
      <c r="A3" s="6" t="s">
        <v>478</v>
      </c>
      <c r="B3" s="6"/>
      <c r="C3" s="6"/>
      <c r="D3" s="6"/>
      <c r="E3" s="6"/>
      <c r="F3" s="6"/>
      <c r="G3" s="6"/>
      <c r="H3" s="6"/>
      <c r="I3" s="6"/>
      <c r="J3" s="6"/>
      <c r="K3" s="6"/>
      <c r="L3" s="6"/>
      <c r="M3" s="6"/>
      <c r="N3" s="6"/>
      <c r="O3" s="6"/>
    </row>
    <row r="4" spans="1:17" s="5" customFormat="1" ht="15" customHeight="1" x14ac:dyDescent="0.35">
      <c r="A4" s="7"/>
      <c r="B4" s="7"/>
      <c r="C4" s="7"/>
      <c r="D4" s="7"/>
      <c r="E4" s="7"/>
      <c r="F4" s="7"/>
      <c r="G4" s="7"/>
      <c r="H4" s="7"/>
      <c r="I4" s="7"/>
      <c r="J4" s="7"/>
      <c r="K4" s="7"/>
      <c r="L4" s="7"/>
      <c r="M4" s="7"/>
      <c r="N4" s="7"/>
      <c r="O4" s="7"/>
    </row>
    <row r="5" spans="1:17" s="5" customFormat="1" ht="15" customHeight="1" x14ac:dyDescent="0.35">
      <c r="A5" s="14" t="s">
        <v>482</v>
      </c>
      <c r="B5" s="15"/>
      <c r="C5" s="16"/>
      <c r="D5" s="8"/>
      <c r="E5" s="14" t="s">
        <v>480</v>
      </c>
      <c r="F5" s="20"/>
      <c r="G5" s="21"/>
      <c r="H5" s="8"/>
      <c r="I5" s="14" t="s">
        <v>479</v>
      </c>
      <c r="J5" s="20"/>
      <c r="K5" s="21"/>
      <c r="L5" s="8"/>
      <c r="M5" s="14" t="s">
        <v>481</v>
      </c>
      <c r="N5" s="20"/>
      <c r="O5" s="21"/>
    </row>
    <row r="6" spans="1:17" s="5" customFormat="1" ht="15" customHeight="1" x14ac:dyDescent="0.35">
      <c r="A6" s="33">
        <f>SUM('Cleaned Data'!I2:I106)</f>
        <v>44435000</v>
      </c>
      <c r="B6" s="34"/>
      <c r="C6" s="35"/>
      <c r="D6" s="8"/>
      <c r="E6" s="24">
        <f>COUNT('Cleaned Data'!G2:G106)</f>
        <v>105</v>
      </c>
      <c r="F6" s="25"/>
      <c r="G6" s="26"/>
      <c r="H6" s="8"/>
      <c r="I6" s="24">
        <f>SUM('Cleaned Data'!G2:G106)</f>
        <v>340</v>
      </c>
      <c r="J6" s="25"/>
      <c r="K6" s="26"/>
      <c r="L6" s="8"/>
      <c r="M6" s="30">
        <f>AVERAGE('Cleaned Data'!I2:I106)</f>
        <v>423190.47619047621</v>
      </c>
      <c r="N6" s="31"/>
      <c r="O6" s="32"/>
    </row>
    <row r="7" spans="1:17" s="5" customFormat="1" ht="15" customHeight="1" x14ac:dyDescent="0.35">
      <c r="A7" s="36"/>
      <c r="B7" s="37"/>
      <c r="C7" s="38"/>
      <c r="D7" s="8"/>
      <c r="E7" s="27"/>
      <c r="F7" s="28"/>
      <c r="G7" s="29"/>
      <c r="H7" s="8"/>
      <c r="I7" s="24"/>
      <c r="J7" s="25"/>
      <c r="K7" s="26"/>
      <c r="L7" s="8"/>
      <c r="M7" s="30"/>
      <c r="N7" s="31"/>
      <c r="O7" s="32"/>
      <c r="Q7" s="23"/>
    </row>
    <row r="8" spans="1:17" x14ac:dyDescent="0.35">
      <c r="I8" s="17"/>
      <c r="J8" s="18"/>
      <c r="K8" s="19"/>
      <c r="M8" s="17"/>
      <c r="N8" s="18"/>
      <c r="O8" s="19"/>
    </row>
  </sheetData>
  <mergeCells count="10">
    <mergeCell ref="A6:C7"/>
    <mergeCell ref="I6:K7"/>
    <mergeCell ref="E6:G7"/>
    <mergeCell ref="M6:O7"/>
    <mergeCell ref="A1:O2"/>
    <mergeCell ref="A3:O3"/>
    <mergeCell ref="A5:C5"/>
    <mergeCell ref="E5:G5"/>
    <mergeCell ref="I5:K5"/>
    <mergeCell ref="M5:O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Temitope Odebode</cp:lastModifiedBy>
  <cp:revision>1</cp:revision>
  <dcterms:created xsi:type="dcterms:W3CDTF">2026-08-28T14:40:35Z</dcterms:created>
  <dcterms:modified xsi:type="dcterms:W3CDTF">2026-08-31T11:49:58Z</dcterms:modified>
  <dc:language>en-US</dc:language>
</cp:coreProperties>
</file>